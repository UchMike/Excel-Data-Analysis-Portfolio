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https://d.docs.live.net/30306bd2a971979c/EXCEL PRACTICE/"/>
    </mc:Choice>
  </mc:AlternateContent>
  <xr:revisionPtr revIDLastSave="1310" documentId="13_ncr:1_{B9978871-11BE-4246-872C-EB35EBC7EEB5}" xr6:coauthVersionLast="47" xr6:coauthVersionMax="47" xr10:uidLastSave="{8E734F7D-7C50-4CAF-885D-15B3EF70945C}"/>
  <bookViews>
    <workbookView xWindow="0" yWindow="0" windowWidth="19200" windowHeight="10200" firstSheet="1" activeTab="4" xr2:uid="{22EA5216-56B1-4125-BED2-0A1BCB690CBC}"/>
  </bookViews>
  <sheets>
    <sheet name="Project Overview" sheetId="21" r:id="rId1"/>
    <sheet name=" Data Scope and Structure" sheetId="22" r:id="rId2"/>
    <sheet name="Data Notes and Validation" sheetId="1" r:id="rId3"/>
    <sheet name="Key Findings" sheetId="3" r:id="rId4"/>
    <sheet name="Conclusion" sheetId="20" r:id="rId5"/>
    <sheet name="Dashboard" sheetId="15" r:id="rId6"/>
    <sheet name="Chest Pain vs Heart Disease" sheetId="19" r:id="rId7"/>
    <sheet name="Overall Prevalence Pivot" sheetId="6" r:id="rId8"/>
    <sheet name="Age Distribution Pivot" sheetId="4" r:id="rId9"/>
    <sheet name="Gender Distribution Pivot" sheetId="5" r:id="rId10"/>
    <sheet name="At Risk Pivot" sheetId="7" r:id="rId11"/>
    <sheet name="BP VS Heart Disease" sheetId="9" r:id="rId12"/>
    <sheet name="Diabetes vs Heart Disease" sheetId="11" r:id="rId13"/>
    <sheet name="EKG results and Heart Disease" sheetId="12" r:id="rId14"/>
    <sheet name="Cholesterol and heart disease" sheetId="13" r:id="rId15"/>
    <sheet name="Exercise Angina and heart dise" sheetId="14" r:id="rId16"/>
    <sheet name="%patients at risk pivot" sheetId="16" r:id="rId17"/>
    <sheet name="%patients with heart disease" sheetId="17" r:id="rId18"/>
    <sheet name="Heart Disease by Gender" sheetId="18" r:id="rId19"/>
    <sheet name=" Heart Disease Prediction Data" sheetId="2" r:id="rId20"/>
  </sheets>
  <calcPr calcId="191029"/>
  <pivotCaches>
    <pivotCache cacheId="0" r:id="rId2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2" l="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V4" i="2"/>
  <c r="V2" i="2"/>
  <c r="V3"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G4" i="15"/>
  <c r="G3" i="15"/>
  <c r="G6" i="15"/>
  <c r="G5" i="15"/>
  <c r="B2" i="2" l="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alcChain>
</file>

<file path=xl/sharedStrings.xml><?xml version="1.0" encoding="utf-8"?>
<sst xmlns="http://schemas.openxmlformats.org/spreadsheetml/2006/main" count="621" uniqueCount="255">
  <si>
    <t>DATA  NOTES. HEART DISEASE PREDICTION</t>
  </si>
  <si>
    <t>Age</t>
  </si>
  <si>
    <t>Sex</t>
  </si>
  <si>
    <t>BP</t>
  </si>
  <si>
    <t>Cholesterol</t>
  </si>
  <si>
    <t>FBS over 120</t>
  </si>
  <si>
    <t>EKG results</t>
  </si>
  <si>
    <t>Max HR</t>
  </si>
  <si>
    <t>Exercise angina</t>
  </si>
  <si>
    <t>ST depression</t>
  </si>
  <si>
    <t>Slope of ST</t>
  </si>
  <si>
    <t>Number of vessels fluro</t>
  </si>
  <si>
    <t>Thallium</t>
  </si>
  <si>
    <t>Heart Disease</t>
  </si>
  <si>
    <t>Presence</t>
  </si>
  <si>
    <t>Absence</t>
  </si>
  <si>
    <t>PROJECT OVERVIEW</t>
  </si>
  <si>
    <t xml:space="preserve">This dataset contains clinical and demographic information for individual patients and is used to analyze factors associated with the presence of heart disease. </t>
  </si>
  <si>
    <t>The analysis focuses on understanding how patient characteristics, symptoms, and test results relate to heart disease outcomes. The dataset is used strictly for analytical and educational purposes.</t>
  </si>
  <si>
    <t>PRIMARY OBJECTIVES</t>
  </si>
  <si>
    <t>The primary objectives of this analysis are to:</t>
  </si>
  <si>
    <t>• Understand the distribution of heart disease cases within the patient population.</t>
  </si>
  <si>
    <t>• Identify key demographic factors, such as age and sex, associated with heart disease presence.</t>
  </si>
  <si>
    <t>• Explore which variables show the strongest association with heart disease and may be useful for basic risk assessment or predictive modeling.</t>
  </si>
  <si>
    <t>• Examine the relationship between clinical measurements, like Blood pressure, cholesterol, fasting blood sugar, heart rate and rhythm and heart disease outcomes.</t>
  </si>
  <si>
    <t>DATA SCOPE AND STRUCTURE</t>
  </si>
  <si>
    <t>• Assess how symptoms and diagnostic indicators like Chest pain type, Exercise-induced angina, Stress test and ECG results relate to heart disease.</t>
  </si>
  <si>
    <t xml:space="preserve">The dataset includes demographic variables such as age and sex, clinical measurements including resting blood pressure, cholesterol level, and maximum heart rate achieved, as well as symptom-related variables such as chest pain type, exercise-induced angina, and ECG results. </t>
  </si>
  <si>
    <t>The target variable indicates whether heart disease is present or absent.</t>
  </si>
  <si>
    <t xml:space="preserve">The data is structured in a tabular format and is suitable for descriptive analysis, comparative analysis, and exploratory risk assessment. </t>
  </si>
  <si>
    <t>No personally identifiable information is included, and the data is intended for educational and analytical purposes rather than clinical diagnosis.</t>
  </si>
  <si>
    <t xml:space="preserve"> It contains patient-level clinical data collected during medical evaluations, and is used to analyse factors associated with the presence of heart disease.</t>
  </si>
  <si>
    <t xml:space="preserve">Each row represents one patient, and each column represents a demographic attribute, clinical measurement, symptom indicator, or diagnostic outcome. </t>
  </si>
  <si>
    <t>The unit of observation is a single patient record.</t>
  </si>
  <si>
    <t xml:space="preserve">This dataset contains anonymised clinical records of individual patients, which were obtained from Kaggle and commonly used for research and predictive modelling. </t>
  </si>
  <si>
    <t>DATA ASSUMPTIONS AND RULES</t>
  </si>
  <si>
    <t>• Categorical variables such as chest pain type and thalassemia are encoded numerically and treated as categories rather than continuous values.</t>
  </si>
  <si>
    <t>• Numeric variables were reviewed for unusual ranges and appeared to fall within clinically plausible limits.</t>
  </si>
  <si>
    <t>• No duplicate patient records were identified.</t>
  </si>
  <si>
    <t>Age Group</t>
  </si>
  <si>
    <t>DERIVED FIELDS</t>
  </si>
  <si>
    <t>• Missing values were checked across all variables. No missing entries were detected.</t>
  </si>
  <si>
    <t>To support the analysis objectives, additional columns were created without modifying the raw dataset. These derived fields were used to standardise the data and apply consistent analytical rules.</t>
  </si>
  <si>
    <t>A new column was created to classify patients into age bands using a defined age range logic. This allows for clearer grouping and comparison across age categories during analysis.</t>
  </si>
  <si>
    <t xml:space="preserve"> Age Group</t>
  </si>
  <si>
    <t>Risk Flag</t>
  </si>
  <si>
    <t>Where applicable, categorical fields were standardised to ensure consistent grouping and accurate aggregation during pivot table analysis.</t>
  </si>
  <si>
    <t>Standardised Categories</t>
  </si>
  <si>
    <t>At-Risk Status</t>
  </si>
  <si>
    <t>AT-RISK RULES</t>
  </si>
  <si>
    <t>Clinical Risk Threshold Assumptions</t>
  </si>
  <si>
    <t>The following clinical thresholds were used to flag patients as being at elevated risk of heart disease. These thresholds do not represent a diagnosis. They are used strictly for analytical classification based on commonly accepted clinical guidelines.</t>
  </si>
  <si>
    <t>• Thalassemia result indicates a defect (values 6 or 7)</t>
  </si>
  <si>
    <t>A patient is considered at-risk if any one or more of the following conditions is met:</t>
  </si>
  <si>
    <t>Interpretation Note</t>
  </si>
  <si>
    <t>Exercise-Induced Angina</t>
  </si>
  <si>
    <t xml:space="preserve">The risk classification is derived using a cumulative indicator approach. The presence of a single abnormal clinical indicator is sufficient to flag elevated cardiovascular risk. </t>
  </si>
  <si>
    <t>This derived field is used strictly for analytical purposes and does not represent a clinical diagnosis.</t>
  </si>
  <si>
    <t>Comparison of Clinical Risk Indicators and Heart Disease Outcomes</t>
  </si>
  <si>
    <t>Row Labels</t>
  </si>
  <si>
    <t>31-40</t>
  </si>
  <si>
    <t>41-50</t>
  </si>
  <si>
    <t>51-60</t>
  </si>
  <si>
    <t>61-70</t>
  </si>
  <si>
    <t>71-80</t>
  </si>
  <si>
    <t>Under 30</t>
  </si>
  <si>
    <t>Grand Total</t>
  </si>
  <si>
    <t>Count of Age</t>
  </si>
  <si>
    <t>Age Distribution Analysis</t>
  </si>
  <si>
    <t>Gender Distribution Analysis</t>
  </si>
  <si>
    <t>Gender Encoding</t>
  </si>
  <si>
    <t>The gender variable is recorded as a numeric field.</t>
  </si>
  <si>
    <t>For the purpose of analysis, this encoding was retained and used to derive gender-based summaries and distributions.</t>
  </si>
  <si>
    <t>Gender Label</t>
  </si>
  <si>
    <t>Unit of Observation and Counting Logic</t>
  </si>
  <si>
    <t xml:space="preserve">Each row in the dataset represents one individual patient. The dataset does not include a unique patient identifier. </t>
  </si>
  <si>
    <t>As a result, patient counts were derived using the count of a non-missing variable (Age), which effectively represents the total number of patients.</t>
  </si>
  <si>
    <t>Column Labels</t>
  </si>
  <si>
    <t>Female</t>
  </si>
  <si>
    <t>Male</t>
  </si>
  <si>
    <t>Overall Prevalence of Heart Disease Across the Total Population</t>
  </si>
  <si>
    <t>At Risk</t>
  </si>
  <si>
    <t>Not At Risk</t>
  </si>
  <si>
    <t>At Risk Distribution</t>
  </si>
  <si>
    <t>Heart disease prevalence was first assessed to establish the overall distribution of cases within the patient population.</t>
  </si>
  <si>
    <t>It was shown that out of 270  patients assessed, 120 have heart disease.</t>
  </si>
  <si>
    <t>The distribution was then examined across demographic segments, including age group and sex  to understand how cases are spread within the population.</t>
  </si>
  <si>
    <t xml:space="preserve">It was shown that out of the 120 patients who have already been established to have heart disease, 20 are females, while 100 are males. </t>
  </si>
  <si>
    <t>This suggests that heart disease is more prevalent in males.</t>
  </si>
  <si>
    <t xml:space="preserve"> The Relationship Between Clinical Measurements and Heart Disease Outcomes</t>
  </si>
  <si>
    <t>Key Demographic Factors Associated with Heart Disease Prevalence</t>
  </si>
  <si>
    <t>Distribution of Heart Disease Cases Within the Patient Population.</t>
  </si>
  <si>
    <t>BP Category</t>
  </si>
  <si>
    <t>A derived column, called "At-Risk flag", was created to identify patients at higher risk based on predefined clinical criteria. This field was used to support risk-based segmentation without altering original measurements.</t>
  </si>
  <si>
    <t>A derived column called BP Category was created to classify the resting systolic blood pressure in mmHg, recorded into groups.</t>
  </si>
  <si>
    <t>The thresholds used are:</t>
  </si>
  <si>
    <t>Normal</t>
  </si>
  <si>
    <t>Less than 120</t>
  </si>
  <si>
    <t>Slightly Elevated</t>
  </si>
  <si>
    <t>120 to 129</t>
  </si>
  <si>
    <t>High</t>
  </si>
  <si>
    <t>130 to 139</t>
  </si>
  <si>
    <t>Very High</t>
  </si>
  <si>
    <t>140 and above</t>
  </si>
  <si>
    <t>Overall, the proportion of heart disease cases increases in the higher blood pressure categories, with the very high blood pressure group showing the highest concentration of heart disease, suggesting that elevated blood pressure is associated with a greater likelihood of heart disease in this population.</t>
  </si>
  <si>
    <t>Blood Pressure Vs Heart Disease</t>
  </si>
  <si>
    <t>Chest Pain Level</t>
  </si>
  <si>
    <t xml:space="preserve">Chest pain type was originally recorded as numeric codes ranging from 1 to 4. These values were treated as categorical indicators rather than continuous measurements. </t>
  </si>
  <si>
    <t>A derived column was created to map each code to its corresponding clinical category to improve interpretability during analysis. The numbers are encoded thus:</t>
  </si>
  <si>
    <t>Chest pain level</t>
  </si>
  <si>
    <t>Asymptomatic</t>
  </si>
  <si>
    <t>Atypical Angina</t>
  </si>
  <si>
    <t>Non Anginal Pain</t>
  </si>
  <si>
    <t>Typical Angina</t>
  </si>
  <si>
    <t xml:space="preserve"> In contrast, asymptomatic patients recorded the highest burden of heart disease, with 91 out of 129 individuals affected. </t>
  </si>
  <si>
    <t>This indicates that the absence of chest pain does not imply lower risk and may, in fact, be associated with a higher likelihood of underlying heart disease in this population.</t>
  </si>
  <si>
    <t>VALIDATION AND QUALITY CHECKS</t>
  </si>
  <si>
    <t xml:space="preserve">Derived risk flags were manually inspected to ensure that patients classified as at risk met at least one predefined clinical threshold. </t>
  </si>
  <si>
    <t>Category-based variables such as chest pain type, blood pressure groups, and sex were reviewed using pivot tables to confirm valid ranges and absence of overlapping classifications.</t>
  </si>
  <si>
    <t xml:space="preserve"> No critical inconsistencies affecting the analysis outcomes were identified.</t>
  </si>
  <si>
    <t xml:space="preserve">Validation checks were performed to ensure internal consistency of the analysis. </t>
  </si>
  <si>
    <t xml:space="preserve">Total patient counts were cross-verified across all pivot tables to confirm alignment with the original dataset. </t>
  </si>
  <si>
    <t>Chest Pain Type</t>
  </si>
  <si>
    <t>Diabetes Indicator</t>
  </si>
  <si>
    <t>Cholesterol Level</t>
  </si>
  <si>
    <t>EKG Result `Flag</t>
  </si>
  <si>
    <t>Exercise Angina Flag</t>
  </si>
  <si>
    <t xml:space="preserve"> These transformations were introduced to improve clarity, consistency, and ease of aggregation during pivot table analysis, without altering the underlying raw data.</t>
  </si>
  <si>
    <t xml:space="preserve">Although the dataset contains multiple clinical indicators, the analysis focuses on variables with the strongest clinical relevance and interpretability for exploratory assessment of heart disease. </t>
  </si>
  <si>
    <t xml:space="preserve">Primary indicators used include chest pain type, blood pressure, cholesterol level, fasting blood sugar, exercise-induced angina, and ECG results. </t>
  </si>
  <si>
    <t>Other clinical measurements were reviewed but treated as supportive variables to avoid over-complexity and over-interpretation.</t>
  </si>
  <si>
    <t>BP Level, Cholesterol Level, Fasting Blood Sugar Level, EKG Results, Exercise-Induced Angina Helper Columns</t>
  </si>
  <si>
    <t>The combined analysis of blood pressure category, fasting blood sugar status, and sex shows a consistent pattern in heart disease prevalence.</t>
  </si>
  <si>
    <t>Chest Pain and Heart Disease</t>
  </si>
  <si>
    <t>Chest pain patterns show a clear difference in heart disease prevalence across categories.</t>
  </si>
  <si>
    <t xml:space="preserve">Among patients with typical angina, 5 out of 20 were diagnosed with heart disease. </t>
  </si>
  <si>
    <t xml:space="preserve">Atypical angina showed a lower prevalence, with 7 out of 42 patients affected. </t>
  </si>
  <si>
    <t>Non-anginal pain also showed relatively fewer cases, with 17 out of 79 patients having heart disease.</t>
  </si>
  <si>
    <t>While males and females were almost evenly represented among patients without heart disease, nearly all patients with heart disease in this group were male.</t>
  </si>
  <si>
    <t>A similar male predominance was observed in heart disease cases among patients with slightly elevated blood pressure and normal fasting blood sugar.</t>
  </si>
  <si>
    <t>Female patients were more commonly represented among those without heart disease in these categories.</t>
  </si>
  <si>
    <t>This pattern suggests that sex, alongside blood pressure and metabolic indicators, plays a meaningful role in the distribution of heart disease within the patient population.</t>
  </si>
  <si>
    <t>Systolic Blood Pressure and Heart Disease</t>
  </si>
  <si>
    <t>Blood pressure categories show a clear but non-linear relationship with heart disease prevalence.</t>
  </si>
  <si>
    <t xml:space="preserve"> Among patients with normal blood pressure, 33 out of 91 were diagnosed with heart disease. </t>
  </si>
  <si>
    <t xml:space="preserve">In the slightly elevated group, 29 out of 63 patients had heart disease. </t>
  </si>
  <si>
    <t xml:space="preserve">For patients with high blood pressure, 25 out of 58 were affected, while the very high blood pressure group recorded 33 heart disease cases out of 58 patients. </t>
  </si>
  <si>
    <t>EKG Level and Heart Disease</t>
  </si>
  <si>
    <t>Relationship Between Symptoms and Diagnostic Indicators of Heart Disease</t>
  </si>
  <si>
    <t>Abnormal</t>
  </si>
  <si>
    <t>EKG results and Heart Disease</t>
  </si>
  <si>
    <t xml:space="preserve">Analysis of ECG results shows a noticeable difference in distribution between patients with and without heart disease. </t>
  </si>
  <si>
    <t>Among patients without heart disease, 85 recorded normal ECG results while 65 showed abnormal readings.</t>
  </si>
  <si>
    <t xml:space="preserve"> In contrast, among patients diagnosed with heart disease, abnormal ECG results were more common, with 74 patients showing abnormalities compared to 46 with normal ECG findings.</t>
  </si>
  <si>
    <t xml:space="preserve"> This indicates that abnormal ECG readings are more prevalent among patients with heart disease, although a substantial number of patients without heart disease also exhibit ECG abnormalities, suggesting that ECG results alone are not sufficient to distinguish heart disease presence in this population.</t>
  </si>
  <si>
    <t>Cholesterol Level and Heart Disease</t>
  </si>
  <si>
    <t xml:space="preserve">Cholesterol levels show a meaningful association with heart disease prevalence in the dataset. </t>
  </si>
  <si>
    <t xml:space="preserve">Out of the 270 patients, 147 were classified as having high cholesterol levels. </t>
  </si>
  <si>
    <t xml:space="preserve">Within this group, 75 patients had heart disease, while 72 did not. </t>
  </si>
  <si>
    <t xml:space="preserve">In contrast, among the 123 patients with normal cholesterol levels, 45 were diagnosed with heart disease and 78 were not. </t>
  </si>
  <si>
    <t>Overall, heart disease cases are more concentrated among patients with high cholesterol compared to those with normal cholesterol levels, indicating that elevated cholesterol is associated with a higher occurrence of heart disease in this population, though it is not determinative on its own.</t>
  </si>
  <si>
    <t>Exercise Angina and Heart Disease</t>
  </si>
  <si>
    <t>Exercise-Induced Angina and Heart Disease</t>
  </si>
  <si>
    <t xml:space="preserve">Analysis of exercise-induced angina reveals a strong contrast in heart disease prevalence between patients with normal and abnormal results. </t>
  </si>
  <si>
    <t xml:space="preserve"> Out of 270 patients, 189 recorded normal exercise angina results, among whom 54 were diagnosed with heart disease while 127 were not. </t>
  </si>
  <si>
    <t>In comparison, 89 patients showed abnormal exercise angina results, with 66 diagnosed with heart disease and 23 without.</t>
  </si>
  <si>
    <t xml:space="preserve"> This indicates that heart disease cases are substantially more concentrated among patients with abnormal exercise-induced angina, suggesting that this indicator has a stronger association with heart disease presence compared to several other clinical measures in the dataset.</t>
  </si>
  <si>
    <t>Sex, Blood Pressure, Diabetes, and Heart Disease</t>
  </si>
  <si>
    <t>Variable Useful for Basic Risk Assessment or Predictive Modeling of Heart Disease</t>
  </si>
  <si>
    <t xml:space="preserve">To support categorical analysis and pivot-based exploration, helper columns were created to interpret numeric clinical indicators into meaningful categories.  </t>
  </si>
  <si>
    <t>Total patients</t>
  </si>
  <si>
    <t>Number with heart disease</t>
  </si>
  <si>
    <t>Percentage with heart disease</t>
  </si>
  <si>
    <t>Percentage flagged at risk</t>
  </si>
  <si>
    <t>PERCENTAGE OF PATIENTS AT RISK</t>
  </si>
  <si>
    <t>PERCENTAGE OF PATIENTS WITH HEART DISEASE</t>
  </si>
  <si>
    <t>Heart Disease Risk and Clinical Indicator Overview</t>
  </si>
  <si>
    <t>(All)</t>
  </si>
  <si>
    <t>Gender Distribution of Heart Disease</t>
  </si>
  <si>
    <t>Chest Pain vs Heart Disease</t>
  </si>
  <si>
    <t>KEY FINDINGS</t>
  </si>
  <si>
    <t>Numeric ranges were reviewed for key variables such as age, blood pressure, cholesterol, heart rate, and ST depression. Values fell within clinically reasonable ranges.</t>
  </si>
  <si>
    <t>Encoded categorical variables (sex, chest pain type, FBS, ECG, exercise angina, thallium) were checked against the dataset documentation to confirm correct interpretation.</t>
  </si>
  <si>
    <t>Risk flag rules were reviewed to confirm logical consistency across variables.</t>
  </si>
  <si>
    <t>The dataset does not contain a patient ID. Patient counts were derived using row counts.</t>
  </si>
  <si>
    <t>Some clinical indicators overlap in meaning, which may inflate risk flags when combined.</t>
  </si>
  <si>
    <t>The dataset represents a fixed sample and may not generalize to broader populations.</t>
  </si>
  <si>
    <t>Limitations identified during validation</t>
  </si>
  <si>
    <t>Based on exploratory analysis, the following variables show the strongest association with heart disease presence and may be useful for basic risk screening or predictive modeling:</t>
  </si>
  <si>
    <t>Exercise-induced angina showed a strong relationship with heart disease, with a high proportion of affected patients among those with abnormal results.</t>
  </si>
  <si>
    <t>High cholesterol levels were more common among patients with heart disease compared to those without.</t>
  </si>
  <si>
    <t>Abnormal ECG results were more frequent among patients with heart disease, though some patients with normal ECG still had the condition.</t>
  </si>
  <si>
    <t>Blood pressure, particularly very high BP, showed increasing heart disease prevalence as severity increased.</t>
  </si>
  <si>
    <t>Chest pain type, especially asymptomatic presentations, showed a strong association with heart disease presence.</t>
  </si>
  <si>
    <t>These variables appear more informative than others such as fasting blood sugar when considered in isolation.</t>
  </si>
  <si>
    <t>The risk flag was designed to be sensitive rather than specific.</t>
  </si>
  <si>
    <t>It identifies patients with one or more concerning indicators, not confirmed disease.</t>
  </si>
  <si>
    <t>Key interpretation:</t>
  </si>
  <si>
    <t>The rule-based flag captures potential risk, not diagnosis.</t>
  </si>
  <si>
    <t>False positives are present due to overlapping clinical indicators.</t>
  </si>
  <si>
    <t>Some patients with heart disease showed few or mild indicators, highlighting the limits of rule-based screening.</t>
  </si>
  <si>
    <t>This reinforces that the analysis is exploratory and decision-support focused.</t>
  </si>
  <si>
    <t>Conclusion</t>
  </si>
  <si>
    <t>This analysis explored heart disease prevalence and associated factors using demographic, clinical, and symptomatic variables.</t>
  </si>
  <si>
    <t>Key findings indicate that:</t>
  </si>
  <si>
    <t>Heart disease prevalence varies across age groups and is higher among male patients.</t>
  </si>
  <si>
    <t>Clinical indicators such as blood pressure, cholesterol level, ECG results, and exercise-induced angina show meaningful relationships with heart disease presence.</t>
  </si>
  <si>
    <t>Symptom-based indicators, particularly chest pain type, provide important but non-exclusive signals of risk.</t>
  </si>
  <si>
    <t>Rule-based risk flags are useful for early screening but should not be treated as diagnostic outcomes.</t>
  </si>
  <si>
    <t>Overall, the dataset supports basic risk stratification and exploratory pattern detection.</t>
  </si>
  <si>
    <t>Further analysis using statistical testing or predictive modeling would be required for clinical or operational decision-making.</t>
  </si>
  <si>
    <r>
      <t xml:space="preserve">• </t>
    </r>
    <r>
      <rPr>
        <b/>
        <sz val="14"/>
        <color theme="1"/>
        <rFont val="Aptos Narrow"/>
        <family val="2"/>
        <scheme val="minor"/>
      </rPr>
      <t>0</t>
    </r>
    <r>
      <rPr>
        <sz val="14"/>
        <color theme="1"/>
        <rFont val="Aptos Narrow"/>
        <family val="2"/>
        <scheme val="minor"/>
      </rPr>
      <t xml:space="preserve"> represents </t>
    </r>
    <r>
      <rPr>
        <b/>
        <sz val="14"/>
        <color theme="1"/>
        <rFont val="Aptos Narrow"/>
        <family val="2"/>
        <scheme val="minor"/>
      </rPr>
      <t>Female</t>
    </r>
  </si>
  <si>
    <r>
      <t xml:space="preserve">• </t>
    </r>
    <r>
      <rPr>
        <b/>
        <sz val="14"/>
        <color theme="1"/>
        <rFont val="Aptos Narrow"/>
        <family val="2"/>
        <scheme val="minor"/>
      </rPr>
      <t>1</t>
    </r>
    <r>
      <rPr>
        <sz val="14"/>
        <color theme="1"/>
        <rFont val="Aptos Narrow"/>
        <family val="2"/>
        <scheme val="minor"/>
      </rPr>
      <t xml:space="preserve"> represents </t>
    </r>
    <r>
      <rPr>
        <b/>
        <sz val="14"/>
        <color theme="1"/>
        <rFont val="Aptos Narrow"/>
        <family val="2"/>
        <scheme val="minor"/>
      </rPr>
      <t>Male</t>
    </r>
  </si>
  <si>
    <r>
      <t xml:space="preserve">• </t>
    </r>
    <r>
      <rPr>
        <b/>
        <sz val="14"/>
        <color theme="1"/>
        <rFont val="Aptos Narrow"/>
        <family val="2"/>
        <scheme val="minor"/>
      </rPr>
      <t>Chest Pain Type</t>
    </r>
  </si>
  <si>
    <r>
      <t xml:space="preserve">Chest pain types representing typical or atypical angina (values </t>
    </r>
    <r>
      <rPr>
        <b/>
        <sz val="14"/>
        <color theme="1"/>
        <rFont val="Aptos Narrow"/>
        <family val="2"/>
        <scheme val="minor"/>
      </rPr>
      <t>1 or 2</t>
    </r>
    <r>
      <rPr>
        <sz val="14"/>
        <color theme="1"/>
        <rFont val="Aptos Narrow"/>
        <family val="2"/>
        <scheme val="minor"/>
      </rPr>
      <t>) are classified as elevated risk.</t>
    </r>
  </si>
  <si>
    <r>
      <t xml:space="preserve">• </t>
    </r>
    <r>
      <rPr>
        <b/>
        <sz val="14"/>
        <color theme="1"/>
        <rFont val="Aptos Narrow"/>
        <family val="2"/>
        <scheme val="minor"/>
      </rPr>
      <t>Resting Blood Pressure</t>
    </r>
  </si>
  <si>
    <r>
      <t xml:space="preserve">Patients with a resting systolic blood pressure of </t>
    </r>
    <r>
      <rPr>
        <b/>
        <sz val="14"/>
        <color theme="1"/>
        <rFont val="Aptos Narrow"/>
        <family val="2"/>
        <scheme val="minor"/>
      </rPr>
      <t>140 mmHg or higher</t>
    </r>
    <r>
      <rPr>
        <sz val="14"/>
        <color theme="1"/>
        <rFont val="Aptos Narrow"/>
        <family val="2"/>
        <scheme val="minor"/>
      </rPr>
      <t xml:space="preserve"> are classified as having elevated cardiovascular risk.</t>
    </r>
  </si>
  <si>
    <r>
      <t xml:space="preserve">• </t>
    </r>
    <r>
      <rPr>
        <b/>
        <sz val="14"/>
        <color theme="1"/>
        <rFont val="Aptos Narrow"/>
        <family val="2"/>
        <scheme val="minor"/>
      </rPr>
      <t>Serum Cholesterol</t>
    </r>
  </si>
  <si>
    <r>
      <t xml:space="preserve">Cholesterol levels of </t>
    </r>
    <r>
      <rPr>
        <b/>
        <sz val="14"/>
        <color theme="1"/>
        <rFont val="Aptos Narrow"/>
        <family val="2"/>
        <scheme val="minor"/>
      </rPr>
      <t>240 mg/dL or higher</t>
    </r>
    <r>
      <rPr>
        <sz val="14"/>
        <color theme="1"/>
        <rFont val="Aptos Narrow"/>
        <family val="2"/>
        <scheme val="minor"/>
      </rPr>
      <t xml:space="preserve"> are considered high and are flagged as a risk factor.</t>
    </r>
  </si>
  <si>
    <r>
      <t xml:space="preserve">• </t>
    </r>
    <r>
      <rPr>
        <b/>
        <sz val="14"/>
        <color theme="1"/>
        <rFont val="Aptos Narrow"/>
        <family val="2"/>
        <scheme val="minor"/>
      </rPr>
      <t>Maximum Heart Rate Achieved</t>
    </r>
  </si>
  <si>
    <r>
      <t xml:space="preserve">A maximum heart rate of </t>
    </r>
    <r>
      <rPr>
        <b/>
        <sz val="14"/>
        <color theme="1"/>
        <rFont val="Aptos Narrow"/>
        <family val="2"/>
        <scheme val="minor"/>
      </rPr>
      <t>less than 120 bpm</t>
    </r>
    <r>
      <rPr>
        <sz val="14"/>
        <color theme="1"/>
        <rFont val="Aptos Narrow"/>
        <family val="2"/>
        <scheme val="minor"/>
      </rPr>
      <t xml:space="preserve"> during exercise is flagged as abnormal and indicative of possible cardiac limitation.</t>
    </r>
  </si>
  <si>
    <r>
      <t xml:space="preserve">Patients who experience angina during exercise (value </t>
    </r>
    <r>
      <rPr>
        <b/>
        <sz val="14"/>
        <color theme="1"/>
        <rFont val="Aptos Narrow"/>
        <family val="2"/>
        <scheme val="minor"/>
      </rPr>
      <t>not equal to 0</t>
    </r>
    <r>
      <rPr>
        <sz val="14"/>
        <color theme="1"/>
        <rFont val="Aptos Narrow"/>
        <family val="2"/>
        <scheme val="minor"/>
      </rPr>
      <t>) are classified as being at elevated risk.</t>
    </r>
  </si>
  <si>
    <r>
      <t xml:space="preserve">• </t>
    </r>
    <r>
      <rPr>
        <b/>
        <sz val="14"/>
        <color theme="1"/>
        <rFont val="Aptos Narrow"/>
        <family val="2"/>
        <scheme val="minor"/>
      </rPr>
      <t>Resting ECG Results</t>
    </r>
  </si>
  <si>
    <r>
      <t xml:space="preserve">Any ECG result that is </t>
    </r>
    <r>
      <rPr>
        <b/>
        <sz val="14"/>
        <color theme="1"/>
        <rFont val="Aptos Narrow"/>
        <family val="2"/>
        <scheme val="minor"/>
      </rPr>
      <t>not normal</t>
    </r>
    <r>
      <rPr>
        <sz val="14"/>
        <color theme="1"/>
        <rFont val="Aptos Narrow"/>
        <family val="2"/>
        <scheme val="minor"/>
      </rPr>
      <t xml:space="preserve"> (values other than 0) is classified as abnormal.</t>
    </r>
  </si>
  <si>
    <r>
      <t xml:space="preserve">• </t>
    </r>
    <r>
      <rPr>
        <b/>
        <sz val="14"/>
        <color theme="1"/>
        <rFont val="Aptos Narrow"/>
        <family val="2"/>
        <scheme val="minor"/>
      </rPr>
      <t>ST Depression (Oldpeak)</t>
    </r>
  </si>
  <si>
    <r>
      <t xml:space="preserve">ST depression values of </t>
    </r>
    <r>
      <rPr>
        <b/>
        <sz val="14"/>
        <color theme="1"/>
        <rFont val="Aptos Narrow"/>
        <family val="2"/>
        <scheme val="minor"/>
      </rPr>
      <t>1.0 or higher</t>
    </r>
    <r>
      <rPr>
        <sz val="14"/>
        <color theme="1"/>
        <rFont val="Aptos Narrow"/>
        <family val="2"/>
        <scheme val="minor"/>
      </rPr>
      <t xml:space="preserve"> are considered clinically significant and flagged as elevated risk.</t>
    </r>
  </si>
  <si>
    <r>
      <t xml:space="preserve">• </t>
    </r>
    <r>
      <rPr>
        <b/>
        <sz val="14"/>
        <color theme="1"/>
        <rFont val="Aptos Narrow"/>
        <family val="2"/>
        <scheme val="minor"/>
      </rPr>
      <t>Slope of the ST Segment</t>
    </r>
  </si>
  <si>
    <r>
      <t xml:space="preserve">Flat or downsloping ST segments (values </t>
    </r>
    <r>
      <rPr>
        <b/>
        <sz val="14"/>
        <color theme="1"/>
        <rFont val="Aptos Narrow"/>
        <family val="2"/>
        <scheme val="minor"/>
      </rPr>
      <t>2 or 3</t>
    </r>
    <r>
      <rPr>
        <sz val="14"/>
        <color theme="1"/>
        <rFont val="Aptos Narrow"/>
        <family val="2"/>
        <scheme val="minor"/>
      </rPr>
      <t>) are classified as abnormal.</t>
    </r>
  </si>
  <si>
    <r>
      <t xml:space="preserve">• </t>
    </r>
    <r>
      <rPr>
        <b/>
        <sz val="14"/>
        <color theme="1"/>
        <rFont val="Aptos Narrow"/>
        <family val="2"/>
        <scheme val="minor"/>
      </rPr>
      <t>Number of Major Vessels (ca)</t>
    </r>
  </si>
  <si>
    <r>
      <t>Any recorded vessel involvement (</t>
    </r>
    <r>
      <rPr>
        <b/>
        <sz val="14"/>
        <color theme="1"/>
        <rFont val="Aptos Narrow"/>
        <family val="2"/>
        <scheme val="minor"/>
      </rPr>
      <t>ca ≥ 1</t>
    </r>
    <r>
      <rPr>
        <sz val="14"/>
        <color theme="1"/>
        <rFont val="Aptos Narrow"/>
        <family val="2"/>
        <scheme val="minor"/>
      </rPr>
      <t>) indicates the presence of coronary artery disease and is flagged as high risk.</t>
    </r>
  </si>
  <si>
    <r>
      <t xml:space="preserve">• </t>
    </r>
    <r>
      <rPr>
        <b/>
        <sz val="14"/>
        <color theme="1"/>
        <rFont val="Aptos Narrow"/>
        <family val="2"/>
        <scheme val="minor"/>
      </rPr>
      <t>Thalassemia (Thal)</t>
    </r>
  </si>
  <si>
    <r>
      <t xml:space="preserve">Thal values representing fixed or reversible defects (values </t>
    </r>
    <r>
      <rPr>
        <b/>
        <sz val="14"/>
        <color theme="1"/>
        <rFont val="Aptos Narrow"/>
        <family val="2"/>
        <scheme val="minor"/>
      </rPr>
      <t>6 or 7</t>
    </r>
    <r>
      <rPr>
        <sz val="14"/>
        <color theme="1"/>
        <rFont val="Aptos Narrow"/>
        <family val="2"/>
        <scheme val="minor"/>
      </rPr>
      <t>) are classified as abnormal.</t>
    </r>
  </si>
  <si>
    <r>
      <t xml:space="preserve">• Resting blood pressure is </t>
    </r>
    <r>
      <rPr>
        <b/>
        <sz val="14"/>
        <color theme="1"/>
        <rFont val="Aptos Narrow"/>
        <family val="2"/>
        <scheme val="minor"/>
      </rPr>
      <t>140 mmHg or higher</t>
    </r>
  </si>
  <si>
    <r>
      <t xml:space="preserve">• Serum cholesterol level is </t>
    </r>
    <r>
      <rPr>
        <b/>
        <sz val="14"/>
        <color theme="1"/>
        <rFont val="Aptos Narrow"/>
        <family val="2"/>
        <scheme val="minor"/>
      </rPr>
      <t>240 mg/dL or higher</t>
    </r>
  </si>
  <si>
    <r>
      <t xml:space="preserve">• Maximum heart rate achieved is </t>
    </r>
    <r>
      <rPr>
        <b/>
        <sz val="14"/>
        <color theme="1"/>
        <rFont val="Aptos Narrow"/>
        <family val="2"/>
        <scheme val="minor"/>
      </rPr>
      <t>less than 120 bpm</t>
    </r>
  </si>
  <si>
    <r>
      <t xml:space="preserve">• Resting ECG result is </t>
    </r>
    <r>
      <rPr>
        <b/>
        <sz val="14"/>
        <color theme="1"/>
        <rFont val="Aptos Narrow"/>
        <family val="2"/>
        <scheme val="minor"/>
      </rPr>
      <t>abnormal</t>
    </r>
    <r>
      <rPr>
        <sz val="14"/>
        <color theme="1"/>
        <rFont val="Aptos Narrow"/>
        <family val="2"/>
        <scheme val="minor"/>
      </rPr>
      <t xml:space="preserve"> (value not equal to 0)</t>
    </r>
  </si>
  <si>
    <r>
      <t xml:space="preserve">• ST depression (Oldpeak) is </t>
    </r>
    <r>
      <rPr>
        <b/>
        <sz val="14"/>
        <color theme="1"/>
        <rFont val="Aptos Narrow"/>
        <family val="2"/>
        <scheme val="minor"/>
      </rPr>
      <t>1.0 or higher</t>
    </r>
  </si>
  <si>
    <r>
      <t xml:space="preserve">• ST segment slope is </t>
    </r>
    <r>
      <rPr>
        <b/>
        <sz val="14"/>
        <color theme="1"/>
        <rFont val="Aptos Narrow"/>
        <family val="2"/>
        <scheme val="minor"/>
      </rPr>
      <t>flat or downsloping</t>
    </r>
    <r>
      <rPr>
        <sz val="14"/>
        <color theme="1"/>
        <rFont val="Aptos Narrow"/>
        <family val="2"/>
        <scheme val="minor"/>
      </rPr>
      <t xml:space="preserve"> (values 2 or 3)</t>
    </r>
  </si>
  <si>
    <r>
      <t xml:space="preserve">• Number of major vessels is </t>
    </r>
    <r>
      <rPr>
        <b/>
        <sz val="14"/>
        <color theme="1"/>
        <rFont val="Aptos Narrow"/>
        <family val="2"/>
        <scheme val="minor"/>
      </rPr>
      <t>one or more</t>
    </r>
    <r>
      <rPr>
        <sz val="14"/>
        <color theme="1"/>
        <rFont val="Aptos Narrow"/>
        <family val="2"/>
        <scheme val="minor"/>
      </rPr>
      <t xml:space="preserve"> (ca ≥ 1)</t>
    </r>
  </si>
  <si>
    <r>
      <t>• Exercise-Induced Angina is</t>
    </r>
    <r>
      <rPr>
        <b/>
        <sz val="14"/>
        <color theme="1"/>
        <rFont val="Aptos Narrow"/>
        <family val="2"/>
        <scheme val="minor"/>
      </rPr>
      <t xml:space="preserve"> not equal to 0.</t>
    </r>
  </si>
  <si>
    <r>
      <t>• Chest Pain Type has the</t>
    </r>
    <r>
      <rPr>
        <b/>
        <sz val="14"/>
        <color theme="1"/>
        <rFont val="Aptos Narrow"/>
        <family val="2"/>
        <scheme val="minor"/>
      </rPr>
      <t xml:space="preserve"> values 1 or 2.</t>
    </r>
  </si>
  <si>
    <r>
      <t xml:space="preserve">If </t>
    </r>
    <r>
      <rPr>
        <b/>
        <sz val="14"/>
        <color theme="1"/>
        <rFont val="Aptos Narrow"/>
        <family val="2"/>
        <scheme val="minor"/>
      </rPr>
      <t>none</t>
    </r>
    <r>
      <rPr>
        <sz val="14"/>
        <color theme="1"/>
        <rFont val="Aptos Narrow"/>
        <family val="2"/>
        <scheme val="minor"/>
      </rPr>
      <t xml:space="preserve"> of the above conditions are met, the patient is classified as </t>
    </r>
    <r>
      <rPr>
        <b/>
        <sz val="14"/>
        <color theme="1"/>
        <rFont val="Aptos Narrow"/>
        <family val="2"/>
        <scheme val="minor"/>
      </rPr>
      <t>Not At Risk</t>
    </r>
    <r>
      <rPr>
        <sz val="14"/>
        <color theme="1"/>
        <rFont val="Aptos Narrow"/>
        <family val="2"/>
        <scheme val="minor"/>
      </rPr>
      <t>.</t>
    </r>
  </si>
  <si>
    <r>
      <t>1-</t>
    </r>
    <r>
      <rPr>
        <sz val="14"/>
        <color theme="1"/>
        <rFont val="Aptos Narrow"/>
        <family val="2"/>
        <scheme val="minor"/>
      </rPr>
      <t xml:space="preserve"> Typical angina</t>
    </r>
  </si>
  <si>
    <r>
      <t xml:space="preserve">2- </t>
    </r>
    <r>
      <rPr>
        <sz val="14"/>
        <color theme="1"/>
        <rFont val="Aptos Narrow"/>
        <family val="2"/>
        <scheme val="minor"/>
      </rPr>
      <t>Atypical angina</t>
    </r>
  </si>
  <si>
    <r>
      <t xml:space="preserve">3- </t>
    </r>
    <r>
      <rPr>
        <sz val="14"/>
        <color theme="1"/>
        <rFont val="Aptos Narrow"/>
        <family val="2"/>
        <scheme val="minor"/>
      </rPr>
      <t>Non-anginal pain</t>
    </r>
  </si>
  <si>
    <r>
      <t xml:space="preserve">4- </t>
    </r>
    <r>
      <rPr>
        <sz val="14"/>
        <color theme="1"/>
        <rFont val="Aptos Narrow"/>
        <family val="2"/>
        <scheme val="minor"/>
      </rPr>
      <t>Asymptomatic</t>
    </r>
  </si>
  <si>
    <r>
      <t xml:space="preserve">Fasting blood sugar values were recoded to indicate </t>
    </r>
    <r>
      <rPr>
        <b/>
        <sz val="14"/>
        <color theme="1"/>
        <rFont val="Aptos Narrow"/>
        <family val="2"/>
        <scheme val="minor"/>
      </rPr>
      <t>Normal</t>
    </r>
    <r>
      <rPr>
        <sz val="14"/>
        <color theme="1"/>
        <rFont val="Aptos Narrow"/>
        <family val="2"/>
        <scheme val="minor"/>
      </rPr>
      <t xml:space="preserve"> when the value equals</t>
    </r>
    <r>
      <rPr>
        <b/>
        <sz val="14"/>
        <color theme="1"/>
        <rFont val="Aptos Narrow"/>
        <family val="2"/>
        <scheme val="minor"/>
      </rPr>
      <t xml:space="preserve"> 0</t>
    </r>
    <r>
      <rPr>
        <sz val="14"/>
        <color theme="1"/>
        <rFont val="Aptos Narrow"/>
        <family val="2"/>
        <scheme val="minor"/>
      </rPr>
      <t xml:space="preserve"> and </t>
    </r>
    <r>
      <rPr>
        <b/>
        <sz val="14"/>
        <color theme="1"/>
        <rFont val="Aptos Narrow"/>
        <family val="2"/>
        <scheme val="minor"/>
      </rPr>
      <t>High</t>
    </r>
    <r>
      <rPr>
        <sz val="14"/>
        <color theme="1"/>
        <rFont val="Aptos Narrow"/>
        <family val="2"/>
        <scheme val="minor"/>
      </rPr>
      <t xml:space="preserve"> when the value equals </t>
    </r>
    <r>
      <rPr>
        <b/>
        <sz val="14"/>
        <color theme="1"/>
        <rFont val="Aptos Narrow"/>
        <family val="2"/>
        <scheme val="minor"/>
      </rPr>
      <t>1</t>
    </r>
    <r>
      <rPr>
        <sz val="14"/>
        <color theme="1"/>
        <rFont val="Aptos Narrow"/>
        <family val="2"/>
        <scheme val="minor"/>
      </rPr>
      <t>.</t>
    </r>
  </si>
  <si>
    <r>
      <t xml:space="preserve">Cholesterol levels were classified as </t>
    </r>
    <r>
      <rPr>
        <b/>
        <sz val="14"/>
        <color theme="1"/>
        <rFont val="Aptos Narrow"/>
        <family val="2"/>
        <scheme val="minor"/>
      </rPr>
      <t>Normal</t>
    </r>
    <r>
      <rPr>
        <sz val="14"/>
        <color theme="1"/>
        <rFont val="Aptos Narrow"/>
        <family val="2"/>
        <scheme val="minor"/>
      </rPr>
      <t xml:space="preserve"> for values below</t>
    </r>
    <r>
      <rPr>
        <b/>
        <sz val="14"/>
        <color theme="1"/>
        <rFont val="Aptos Narrow"/>
        <family val="2"/>
        <scheme val="minor"/>
      </rPr>
      <t xml:space="preserve"> 240 mg/dl </t>
    </r>
    <r>
      <rPr>
        <sz val="14"/>
        <color theme="1"/>
        <rFont val="Aptos Narrow"/>
        <family val="2"/>
        <scheme val="minor"/>
      </rPr>
      <t xml:space="preserve"> and </t>
    </r>
    <r>
      <rPr>
        <b/>
        <sz val="14"/>
        <color theme="1"/>
        <rFont val="Aptos Narrow"/>
        <family val="2"/>
        <scheme val="minor"/>
      </rPr>
      <t>High</t>
    </r>
    <r>
      <rPr>
        <sz val="14"/>
        <color theme="1"/>
        <rFont val="Aptos Narrow"/>
        <family val="2"/>
        <scheme val="minor"/>
      </rPr>
      <t xml:space="preserve"> for values of </t>
    </r>
    <r>
      <rPr>
        <b/>
        <sz val="14"/>
        <color theme="1"/>
        <rFont val="Aptos Narrow"/>
        <family val="2"/>
        <scheme val="minor"/>
      </rPr>
      <t>240 mg/dl and above.</t>
    </r>
  </si>
  <si>
    <r>
      <t xml:space="preserve">ECG results were categorised as </t>
    </r>
    <r>
      <rPr>
        <b/>
        <sz val="14"/>
        <color theme="1"/>
        <rFont val="Aptos Narrow"/>
        <family val="2"/>
        <scheme val="minor"/>
      </rPr>
      <t>Normal</t>
    </r>
    <r>
      <rPr>
        <sz val="14"/>
        <color theme="1"/>
        <rFont val="Aptos Narrow"/>
        <family val="2"/>
        <scheme val="minor"/>
      </rPr>
      <t xml:space="preserve"> when the value equals</t>
    </r>
    <r>
      <rPr>
        <b/>
        <sz val="14"/>
        <color theme="1"/>
        <rFont val="Aptos Narrow"/>
        <family val="2"/>
        <scheme val="minor"/>
      </rPr>
      <t xml:space="preserve"> 0</t>
    </r>
    <r>
      <rPr>
        <sz val="14"/>
        <color theme="1"/>
        <rFont val="Aptos Narrow"/>
        <family val="2"/>
        <scheme val="minor"/>
      </rPr>
      <t xml:space="preserve"> and </t>
    </r>
    <r>
      <rPr>
        <b/>
        <sz val="14"/>
        <color theme="1"/>
        <rFont val="Aptos Narrow"/>
        <family val="2"/>
        <scheme val="minor"/>
      </rPr>
      <t>Abnormal</t>
    </r>
    <r>
      <rPr>
        <sz val="14"/>
        <color theme="1"/>
        <rFont val="Aptos Narrow"/>
        <family val="2"/>
        <scheme val="minor"/>
      </rPr>
      <t xml:space="preserve"> for all other values.</t>
    </r>
  </si>
  <si>
    <r>
      <t xml:space="preserve">  Exercise-induced angina was similarly interpreted, with a value of </t>
    </r>
    <r>
      <rPr>
        <b/>
        <sz val="14"/>
        <color theme="1"/>
        <rFont val="Aptos Narrow"/>
        <family val="2"/>
        <scheme val="minor"/>
      </rPr>
      <t>0</t>
    </r>
    <r>
      <rPr>
        <sz val="14"/>
        <color theme="1"/>
        <rFont val="Aptos Narrow"/>
        <family val="2"/>
        <scheme val="minor"/>
      </rPr>
      <t xml:space="preserve"> indicating </t>
    </r>
    <r>
      <rPr>
        <b/>
        <sz val="14"/>
        <color theme="1"/>
        <rFont val="Aptos Narrow"/>
        <family val="2"/>
        <scheme val="minor"/>
      </rPr>
      <t>No angin</t>
    </r>
    <r>
      <rPr>
        <sz val="14"/>
        <color theme="1"/>
        <rFont val="Aptos Narrow"/>
        <family val="2"/>
        <scheme val="minor"/>
      </rPr>
      <t xml:space="preserve">a and </t>
    </r>
    <r>
      <rPr>
        <b/>
        <sz val="14"/>
        <color theme="1"/>
        <rFont val="Aptos Narrow"/>
        <family val="2"/>
        <scheme val="minor"/>
      </rPr>
      <t>any other value</t>
    </r>
    <r>
      <rPr>
        <sz val="14"/>
        <color theme="1"/>
        <rFont val="Aptos Narrow"/>
        <family val="2"/>
        <scheme val="minor"/>
      </rPr>
      <t xml:space="preserve"> indicating </t>
    </r>
    <r>
      <rPr>
        <b/>
        <sz val="14"/>
        <color theme="1"/>
        <rFont val="Aptos Narrow"/>
        <family val="2"/>
        <scheme val="minor"/>
      </rPr>
      <t>Presence of angina.</t>
    </r>
  </si>
  <si>
    <r>
      <t xml:space="preserve">Analysis showed that several patients flagged as </t>
    </r>
    <r>
      <rPr>
        <b/>
        <sz val="14"/>
        <color theme="1"/>
        <rFont val="Aptos Narrow"/>
        <family val="2"/>
        <scheme val="minor"/>
      </rPr>
      <t>“At Risk”</t>
    </r>
    <r>
      <rPr>
        <sz val="14"/>
        <color theme="1"/>
        <rFont val="Aptos Narrow"/>
        <family val="2"/>
        <scheme val="minor"/>
      </rPr>
      <t xml:space="preserve"> did not have confirmed heart disease. This outcome is expected.</t>
    </r>
  </si>
  <si>
    <r>
      <t xml:space="preserve">Among patients with </t>
    </r>
    <r>
      <rPr>
        <b/>
        <sz val="14"/>
        <color theme="1"/>
        <rFont val="Aptos Narrow"/>
        <family val="2"/>
        <scheme val="minor"/>
      </rPr>
      <t>normal blood pressure and normal fasting blood sugar</t>
    </r>
    <r>
      <rPr>
        <sz val="14"/>
        <color theme="1"/>
        <rFont val="Aptos Narrow"/>
        <family val="2"/>
        <scheme val="minor"/>
      </rPr>
      <t xml:space="preserve">, heart disease cases were predominantly male. </t>
    </r>
  </si>
  <si>
    <r>
      <t xml:space="preserve">For patients with </t>
    </r>
    <r>
      <rPr>
        <b/>
        <sz val="14"/>
        <color theme="1"/>
        <rFont val="Aptos Narrow"/>
        <family val="2"/>
        <scheme val="minor"/>
      </rPr>
      <t>high blood pressure and normal fasting blood sugar</t>
    </r>
    <r>
      <rPr>
        <sz val="14"/>
        <color theme="1"/>
        <rFont val="Aptos Narrow"/>
        <family val="2"/>
        <scheme val="minor"/>
      </rPr>
      <t xml:space="preserve">, the majority of those diagnosed with heart disease were male, while patients without heart disease were more evenly distributed between males and females. </t>
    </r>
  </si>
  <si>
    <r>
      <t xml:space="preserve">In groups with </t>
    </r>
    <r>
      <rPr>
        <b/>
        <sz val="14"/>
        <color theme="1"/>
        <rFont val="Aptos Narrow"/>
        <family val="2"/>
        <scheme val="minor"/>
      </rPr>
      <t>high or very high blood pressure combined with high fasting blood sugar</t>
    </r>
    <r>
      <rPr>
        <sz val="14"/>
        <color theme="1"/>
        <rFont val="Aptos Narrow"/>
        <family val="2"/>
        <scheme val="minor"/>
      </rPr>
      <t xml:space="preserve">, heart disease cases were fewer in number but continued to show a higher concentration among male patients. </t>
    </r>
  </si>
  <si>
    <r>
      <t xml:space="preserve">Overall, across all blood pressure and fasting blood sugar combinations, </t>
    </r>
    <r>
      <rPr>
        <b/>
        <sz val="14"/>
        <color theme="1"/>
        <rFont val="Aptos Narrow"/>
        <family val="2"/>
        <scheme val="minor"/>
      </rPr>
      <t>male patients consistently accounted for a higher proportion of heart disease cases</t>
    </r>
    <r>
      <rPr>
        <sz val="14"/>
        <color theme="1"/>
        <rFont val="Aptos Narrow"/>
        <family val="2"/>
        <scheme val="minor"/>
      </rPr>
      <t xml:space="preserve">, while female patients were more frequently observed in the non–heart disease group.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</si>
</sst>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Aptos Narrow"/>
      <family val="2"/>
      <scheme val="minor"/>
    </font>
    <font>
      <sz val="11"/>
      <color indexed="8"/>
      <name val="Aptos Narrow"/>
      <family val="2"/>
    </font>
    <font>
      <b/>
      <sz val="15"/>
      <color indexed="56"/>
      <name val="Aptos Narrow"/>
      <family val="2"/>
    </font>
    <font>
      <b/>
      <sz val="13"/>
      <color indexed="56"/>
      <name val="Aptos Narrow"/>
      <family val="2"/>
    </font>
    <font>
      <b/>
      <sz val="11"/>
      <color indexed="56"/>
      <name val="Aptos Narrow"/>
      <family val="2"/>
    </font>
    <font>
      <sz val="11"/>
      <color indexed="52"/>
      <name val="Aptos Narrow"/>
      <family val="2"/>
    </font>
    <font>
      <sz val="18"/>
      <color indexed="56"/>
      <name val="Aptos Display"/>
      <family val="2"/>
    </font>
    <font>
      <sz val="11"/>
      <color theme="1"/>
      <name val="Aptos Narrow"/>
      <family val="2"/>
      <scheme val="minor"/>
    </font>
    <font>
      <sz val="11"/>
      <color theme="0"/>
      <name val="Aptos Narrow"/>
      <family val="2"/>
      <scheme val="minor"/>
    </font>
    <font>
      <sz val="11"/>
      <color rgb="FF9C0006"/>
      <name val="Aptos Narrow"/>
      <family val="2"/>
      <scheme val="minor"/>
    </font>
    <font>
      <b/>
      <sz val="11"/>
      <color indexed="52"/>
      <name val="Aptos Narrow"/>
      <family val="2"/>
      <scheme val="minor"/>
    </font>
    <font>
      <b/>
      <sz val="11"/>
      <color theme="0"/>
      <name val="Aptos Narrow"/>
      <family val="2"/>
      <scheme val="minor"/>
    </font>
    <font>
      <i/>
      <sz val="11"/>
      <color rgb="FF7F7F7F"/>
      <name val="Aptos Narrow"/>
      <family val="2"/>
      <scheme val="minor"/>
    </font>
    <font>
      <sz val="11"/>
      <color rgb="FF006100"/>
      <name val="Aptos Narrow"/>
      <family val="2"/>
      <scheme val="minor"/>
    </font>
    <font>
      <b/>
      <sz val="11"/>
      <color indexed="56"/>
      <name val="Aptos Narrow"/>
      <family val="2"/>
      <scheme val="minor"/>
    </font>
    <font>
      <sz val="11"/>
      <color rgb="FF3F3F76"/>
      <name val="Aptos Narrow"/>
      <family val="2"/>
      <scheme val="minor"/>
    </font>
    <font>
      <sz val="11"/>
      <color rgb="FF9C5700"/>
      <name val="Aptos Narrow"/>
      <family val="2"/>
      <scheme val="minor"/>
    </font>
    <font>
      <b/>
      <sz val="11"/>
      <color rgb="FF3F3F3F"/>
      <name val="Aptos Narrow"/>
      <family val="2"/>
      <scheme val="minor"/>
    </font>
    <font>
      <b/>
      <sz val="11"/>
      <color theme="1"/>
      <name val="Aptos Narrow"/>
      <family val="2"/>
      <scheme val="minor"/>
    </font>
    <font>
      <sz val="11"/>
      <color rgb="FFFF0000"/>
      <name val="Aptos Narrow"/>
      <family val="2"/>
      <scheme val="minor"/>
    </font>
    <font>
      <b/>
      <sz val="12"/>
      <color theme="1"/>
      <name val="Aptos Narrow"/>
      <family val="2"/>
      <scheme val="minor"/>
    </font>
    <font>
      <b/>
      <sz val="14"/>
      <color theme="1"/>
      <name val="Aptos Narrow"/>
      <family val="2"/>
      <scheme val="minor"/>
    </font>
    <font>
      <b/>
      <sz val="18"/>
      <color theme="1"/>
      <name val="Aptos Narrow"/>
      <family val="2"/>
      <scheme val="minor"/>
    </font>
    <font>
      <b/>
      <sz val="16"/>
      <color theme="1"/>
      <name val="Aptos Narrow"/>
      <family val="2"/>
      <scheme val="minor"/>
    </font>
    <font>
      <sz val="8"/>
      <name val="Aptos Narrow"/>
      <family val="2"/>
      <scheme val="minor"/>
    </font>
    <font>
      <b/>
      <sz val="26"/>
      <color theme="1"/>
      <name val="Aptos Narrow"/>
      <family val="2"/>
      <scheme val="minor"/>
    </font>
    <font>
      <b/>
      <sz val="20"/>
      <color theme="1"/>
      <name val="Aptos Narrow"/>
      <family val="2"/>
      <scheme val="minor"/>
    </font>
    <font>
      <sz val="14"/>
      <color theme="1"/>
      <name val="Aptos Narrow"/>
      <family val="2"/>
      <scheme val="minor"/>
    </font>
    <font>
      <b/>
      <sz val="20"/>
      <color indexed="8"/>
      <name val="Aptos Narrow"/>
      <family val="2"/>
    </font>
    <font>
      <sz val="16"/>
      <color theme="1"/>
      <name val="Aptos Narrow"/>
      <family val="2"/>
      <scheme val="minor"/>
    </font>
    <font>
      <b/>
      <sz val="22"/>
      <color theme="1"/>
      <name val="Aptos Narrow"/>
      <family val="2"/>
      <scheme val="minor"/>
    </font>
  </fonts>
  <fills count="25">
    <fill>
      <patternFill patternType="none"/>
    </fill>
    <fill>
      <patternFill patternType="gray125"/>
    </fill>
    <fill>
      <patternFill patternType="solid">
        <fgColor indexed="27"/>
      </patternFill>
    </fill>
    <fill>
      <patternFill patternType="solid">
        <fgColor indexed="22"/>
      </patternFill>
    </fill>
    <fill>
      <patternFill patternType="solid">
        <fgColor indexed="42"/>
      </patternFill>
    </fill>
    <fill>
      <patternFill patternType="solid">
        <fgColor indexed="45"/>
      </patternFill>
    </fill>
    <fill>
      <patternFill patternType="solid">
        <fgColor indexed="49"/>
      </patternFill>
    </fill>
    <fill>
      <patternFill patternType="solid">
        <fgColor indexed="57"/>
      </patternFill>
    </fill>
    <fill>
      <patternFill patternType="solid">
        <fgColor indexed="48"/>
      </patternFill>
    </fill>
    <fill>
      <patternFill patternType="solid">
        <fgColor indexed="25"/>
      </patternFill>
    </fill>
    <fill>
      <patternFill patternType="solid">
        <fgColor indexed="11"/>
      </patternFill>
    </fill>
    <fill>
      <patternFill patternType="solid">
        <fgColor indexed="21"/>
      </patternFill>
    </fill>
    <fill>
      <patternFill patternType="solid">
        <fgColor indexed="53"/>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7"/>
      </patternFill>
    </fill>
    <fill>
      <patternFill patternType="solid">
        <fgColor theme="8"/>
      </patternFill>
    </fill>
    <fill>
      <patternFill patternType="solid">
        <fgColor rgb="FFA5A5A5"/>
      </patternFill>
    </fill>
    <fill>
      <patternFill patternType="solid">
        <fgColor rgb="FFFFEB9C"/>
      </patternFill>
    </fill>
    <fill>
      <patternFill patternType="solid">
        <fgColor rgb="FFFFFFCC"/>
      </patternFill>
    </fill>
  </fills>
  <borders count="10">
    <border>
      <left/>
      <right/>
      <top/>
      <bottom/>
      <diagonal/>
    </border>
    <border>
      <left/>
      <right/>
      <top/>
      <bottom style="thick">
        <color indexed="21"/>
      </bottom>
      <diagonal/>
    </border>
    <border>
      <left/>
      <right/>
      <top/>
      <bottom style="thick">
        <color indexed="49"/>
      </bottom>
      <diagonal/>
    </border>
    <border>
      <left/>
      <right/>
      <top/>
      <bottom style="double">
        <color indexed="52"/>
      </bottom>
      <diagonal/>
    </border>
    <border>
      <left/>
      <right/>
      <top style="thin">
        <color indexed="21"/>
      </top>
      <bottom style="double">
        <color indexed="21"/>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42">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2"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3" borderId="0" applyNumberFormat="0" applyBorder="0" applyAlignment="0" applyProtection="0"/>
    <xf numFmtId="0" fontId="7" fillId="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3"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7"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7" borderId="0" applyNumberFormat="0" applyBorder="0" applyAlignment="0" applyProtection="0"/>
    <xf numFmtId="0" fontId="9" fillId="5" borderId="0" applyNumberFormat="0" applyBorder="0" applyAlignment="0" applyProtection="0"/>
    <xf numFmtId="0" fontId="10" fillId="3" borderId="5" applyNumberFormat="0" applyAlignment="0" applyProtection="0"/>
    <xf numFmtId="0" fontId="11" fillId="22" borderId="6" applyNumberFormat="0" applyAlignment="0" applyProtection="0"/>
    <xf numFmtId="0" fontId="12" fillId="0" borderId="0" applyNumberFormat="0" applyFill="0" applyBorder="0" applyAlignment="0" applyProtection="0"/>
    <xf numFmtId="0" fontId="13" fillId="4" borderId="0" applyNumberFormat="0" applyBorder="0" applyAlignment="0" applyProtection="0"/>
    <xf numFmtId="0" fontId="2" fillId="0" borderId="1" applyNumberFormat="0" applyFill="0" applyAlignment="0" applyProtection="0"/>
    <xf numFmtId="0" fontId="3" fillId="0" borderId="2" applyNumberFormat="0" applyFill="0" applyAlignment="0" applyProtection="0"/>
    <xf numFmtId="0" fontId="14" fillId="0" borderId="7" applyNumberFormat="0" applyFill="0" applyAlignment="0" applyProtection="0"/>
    <xf numFmtId="0" fontId="4" fillId="0" borderId="0" applyNumberFormat="0" applyFill="0" applyBorder="0" applyAlignment="0" applyProtection="0"/>
    <xf numFmtId="0" fontId="15" fillId="3" borderId="5" applyNumberFormat="0" applyAlignment="0" applyProtection="0"/>
    <xf numFmtId="0" fontId="5" fillId="0" borderId="3" applyNumberFormat="0" applyFill="0" applyAlignment="0" applyProtection="0"/>
    <xf numFmtId="0" fontId="16" fillId="23" borderId="0" applyNumberFormat="0" applyBorder="0" applyAlignment="0" applyProtection="0"/>
    <xf numFmtId="0" fontId="1" fillId="24" borderId="8" applyNumberFormat="0" applyFont="0" applyAlignment="0" applyProtection="0"/>
    <xf numFmtId="0" fontId="17" fillId="3" borderId="9" applyNumberFormat="0" applyAlignment="0" applyProtection="0"/>
    <xf numFmtId="0" fontId="6" fillId="0" borderId="0" applyNumberFormat="0" applyFill="0" applyBorder="0" applyAlignment="0" applyProtection="0"/>
    <xf numFmtId="0" fontId="18" fillId="0" borderId="4" applyNumberFormat="0" applyFill="0" applyAlignment="0" applyProtection="0"/>
    <xf numFmtId="0" fontId="19" fillId="0" borderId="0" applyNumberFormat="0" applyFill="0" applyBorder="0" applyAlignment="0" applyProtection="0"/>
  </cellStyleXfs>
  <cellXfs count="26">
    <xf numFmtId="0" fontId="0" fillId="0" borderId="0" xfId="0"/>
    <xf numFmtId="0" fontId="0" fillId="0" borderId="0" xfId="0" applyAlignment="1">
      <alignment horizontal="center"/>
    </xf>
    <xf numFmtId="0" fontId="20" fillId="0" borderId="0" xfId="0" applyFont="1"/>
    <xf numFmtId="0" fontId="21" fillId="0" borderId="0" xfId="0" applyFont="1"/>
    <xf numFmtId="0" fontId="0" fillId="0" borderId="0" xfId="0" pivotButton="1"/>
    <xf numFmtId="0" fontId="0" fillId="0" borderId="0" xfId="0" applyAlignment="1">
      <alignment horizontal="left"/>
    </xf>
    <xf numFmtId="0" fontId="22" fillId="0" borderId="0" xfId="0" applyFont="1" applyAlignment="1">
      <alignment horizontal="center"/>
    </xf>
    <xf numFmtId="0" fontId="23" fillId="0" borderId="0" xfId="0" applyFont="1"/>
    <xf numFmtId="10" fontId="0" fillId="0" borderId="0" xfId="0" applyNumberFormat="1"/>
    <xf numFmtId="0" fontId="25" fillId="0" borderId="0" xfId="0" applyFont="1"/>
    <xf numFmtId="10" fontId="25" fillId="0" borderId="0" xfId="0" applyNumberFormat="1" applyFont="1"/>
    <xf numFmtId="0" fontId="22" fillId="0" borderId="0" xfId="0" applyFont="1"/>
    <xf numFmtId="0" fontId="26" fillId="0" borderId="0" xfId="0" applyFont="1"/>
    <xf numFmtId="0" fontId="27" fillId="0" borderId="0" xfId="0" applyFont="1"/>
    <xf numFmtId="0" fontId="28" fillId="0" borderId="0" xfId="0" applyFont="1" applyAlignment="1"/>
    <xf numFmtId="0" fontId="21" fillId="0" borderId="0" xfId="0" applyFont="1" applyAlignment="1">
      <alignment vertical="center"/>
    </xf>
    <xf numFmtId="0" fontId="27" fillId="0" borderId="0" xfId="0" applyFont="1" applyAlignment="1">
      <alignment vertical="center"/>
    </xf>
    <xf numFmtId="0" fontId="27" fillId="0" borderId="0" xfId="0" applyFont="1" applyAlignment="1">
      <alignment horizontal="left" vertical="center" indent="1"/>
    </xf>
    <xf numFmtId="0" fontId="21" fillId="0" borderId="0" xfId="0" applyFont="1" applyAlignment="1">
      <alignment horizontal="left" vertical="center" indent="1"/>
    </xf>
    <xf numFmtId="0" fontId="27" fillId="0" borderId="0" xfId="0" applyFont="1" applyAlignment="1">
      <alignment horizontal="left" vertical="center"/>
    </xf>
    <xf numFmtId="0" fontId="26" fillId="0" borderId="0" xfId="0" applyFont="1" applyAlignment="1">
      <alignment horizontal="center"/>
    </xf>
    <xf numFmtId="0" fontId="21" fillId="0" borderId="0" xfId="0" applyFont="1" applyAlignment="1">
      <alignment horizontal="left" vertical="center"/>
    </xf>
    <xf numFmtId="0" fontId="23" fillId="0" borderId="0" xfId="0" applyFont="1" applyAlignment="1">
      <alignment horizontal="left" vertical="center"/>
    </xf>
    <xf numFmtId="0" fontId="29" fillId="0" borderId="0" xfId="0" applyFont="1" applyAlignment="1">
      <alignment horizontal="left" vertical="center"/>
    </xf>
    <xf numFmtId="0" fontId="30" fillId="0" borderId="0" xfId="0" applyFont="1"/>
    <xf numFmtId="0" fontId="27" fillId="0" borderId="0" xfId="0" applyFont="1" applyAlignment="1">
      <alignment horizontal="left"/>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25">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[HEART DISEASE PREDICTION.xlsx]Overall Prevalence Pivot!PivotTable1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Heart Disease Prevalence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'Overall Prevalence Pivot'!$B$3</c:f>
              <c:strCache>
                <c:ptCount val="1"/>
                <c:pt idx="0">
                  <c:v>Total</c:v>
                </c:pt>
              </c:strCache>
            </c:strRef>
          </c:tx>
          <c:dPt>
            <c:idx val="0"/>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8A2-4A03-8188-AF7151D12C8C}"/>
              </c:ext>
            </c:extLst>
          </c:dPt>
          <c:dPt>
            <c:idx val="1"/>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8A2-4A03-8188-AF7151D12C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'Overall Prevalence Pivot'!$A$4:$A$6</c:f>
              <c:strCache>
                <c:ptCount val="2"/>
                <c:pt idx="0">
                  <c:v>Absence</c:v>
                </c:pt>
                <c:pt idx="1">
                  <c:v>Presence</c:v>
                </c:pt>
              </c:strCache>
            </c:strRef>
          </c:cat>
          <c:val>
            <c:numRef>
              <c:f>'Overall Prevalence Pivot'!$B$4:$B$6</c:f>
              <c:numCache>
                <c:formatCode>General</c:formatCode>
                <c:ptCount val="2"/>
                <c:pt idx="0">
                  <c:v>150</c:v>
                </c:pt>
                <c:pt idx="1">
                  <c:v>120</c:v>
                </c:pt>
              </c:numCache>
            </c:numRef>
          </c:val>
          <c:extLst>
            <c:ext xmlns:c16="http://schemas.microsoft.com/office/drawing/2014/chart" uri="{C3380CC4-5D6E-409C-BE32-E72D297353CC}">
              <c16:uniqueId val="{00000004-48A2-4A03-8188-AF7151D12C8C}"/>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[HEART DISEASE PREDICTION.xlsx]Heart Disease by Gender!PivotTable3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Gender</a:t>
            </a:r>
            <a:r>
              <a:rPr lang="en-GB" baseline="0"/>
              <a:t> Distribution of Heart Disease</a:t>
            </a:r>
            <a:endParaRPr lang="en-GB"/>
          </a:p>
        </c:rich>
      </c:tx>
      <c:layout>
        <c:manualLayout>
          <c:xMode val="edge"/>
          <c:yMode val="edge"/>
          <c:x val="0.19036220472440946"/>
          <c:y val="5.082215663707738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'Heart Disease by Gender'!$B$3:$B$4</c:f>
              <c:strCache>
                <c:ptCount val="1"/>
                <c:pt idx="0">
                  <c:v>Female</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'Heart Disease by Gender'!$A$5:$A$6</c:f>
              <c:strCache>
                <c:ptCount val="1"/>
                <c:pt idx="0">
                  <c:v>Presence</c:v>
                </c:pt>
              </c:strCache>
            </c:strRef>
          </c:cat>
          <c:val>
            <c:numRef>
              <c:f>'Heart Disease by Gender'!$B$5:$B$6</c:f>
              <c:numCache>
                <c:formatCode>General</c:formatCode>
                <c:ptCount val="1"/>
                <c:pt idx="0">
                  <c:v>20</c:v>
                </c:pt>
              </c:numCache>
            </c:numRef>
          </c:val>
          <c:extLst>
            <c:ext xmlns:c16="http://schemas.microsoft.com/office/drawing/2014/chart" uri="{C3380CC4-5D6E-409C-BE32-E72D297353CC}">
              <c16:uniqueId val="{00000000-0804-4738-8855-8A3FF2E184E1}"/>
            </c:ext>
          </c:extLst>
        </c:ser>
        <c:ser>
          <c:idx val="1"/>
          <c:order val="1"/>
          <c:tx>
            <c:strRef>
              <c:f>'Heart Disease by Gender'!$C$3:$C$4</c:f>
              <c:strCache>
                <c:ptCount val="1"/>
                <c:pt idx="0">
                  <c:v>Male</c:v>
                </c:pt>
              </c:strCache>
            </c:strRef>
          </c:tx>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'Heart Disease by Gender'!$A$5:$A$6</c:f>
              <c:strCache>
                <c:ptCount val="1"/>
                <c:pt idx="0">
                  <c:v>Presence</c:v>
                </c:pt>
              </c:strCache>
            </c:strRef>
          </c:cat>
          <c:val>
            <c:numRef>
              <c:f>'Heart Disease by Gender'!$C$5:$C$6</c:f>
              <c:numCache>
                <c:formatCode>General</c:formatCode>
                <c:ptCount val="1"/>
                <c:pt idx="0">
                  <c:v>100</c:v>
                </c:pt>
              </c:numCache>
            </c:numRef>
          </c:val>
          <c:extLst>
            <c:ext xmlns:c16="http://schemas.microsoft.com/office/drawing/2014/chart" uri="{C3380CC4-5D6E-409C-BE32-E72D297353CC}">
              <c16:uniqueId val="{00000001-0804-4738-8855-8A3FF2E184E1}"/>
            </c:ext>
          </c:extLst>
        </c:ser>
        <c:dLbls>
          <c:showLegendKey val="0"/>
          <c:showVal val="0"/>
          <c:showCatName val="0"/>
          <c:showSerName val="0"/>
          <c:showPercent val="0"/>
          <c:showBubbleSize val="0"/>
        </c:dLbls>
        <c:gapWidth val="115"/>
        <c:overlap val="-20"/>
        <c:axId val="1443938752"/>
        <c:axId val="1443939232"/>
      </c:barChart>
      <c:catAx>
        <c:axId val="14439387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3939232"/>
        <c:crosses val="autoZero"/>
        <c:auto val="1"/>
        <c:lblAlgn val="ctr"/>
        <c:lblOffset val="100"/>
        <c:noMultiLvlLbl val="0"/>
      </c:catAx>
      <c:valAx>
        <c:axId val="144393923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3938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[HEART DISEASE PREDICTION.xlsx]BP VS Heart Disease!PivotTable2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Heart Disease by Blood Pressure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'BP VS Heart Disease'!$B$3:$B$4</c:f>
              <c:strCache>
                <c:ptCount val="1"/>
                <c:pt idx="0">
                  <c:v>Presence</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'BP VS Heart Disease'!$A$5:$A$9</c:f>
              <c:strCache>
                <c:ptCount val="4"/>
                <c:pt idx="0">
                  <c:v>High</c:v>
                </c:pt>
                <c:pt idx="1">
                  <c:v>Normal</c:v>
                </c:pt>
                <c:pt idx="2">
                  <c:v>Slightly Elevated</c:v>
                </c:pt>
                <c:pt idx="3">
                  <c:v>Very High</c:v>
                </c:pt>
              </c:strCache>
            </c:strRef>
          </c:cat>
          <c:val>
            <c:numRef>
              <c:f>'BP VS Heart Disease'!$B$5:$B$9</c:f>
              <c:numCache>
                <c:formatCode>General</c:formatCode>
                <c:ptCount val="4"/>
                <c:pt idx="0">
                  <c:v>25</c:v>
                </c:pt>
                <c:pt idx="1">
                  <c:v>33</c:v>
                </c:pt>
                <c:pt idx="2">
                  <c:v>29</c:v>
                </c:pt>
                <c:pt idx="3">
                  <c:v>33</c:v>
                </c:pt>
              </c:numCache>
            </c:numRef>
          </c:val>
          <c:extLst>
            <c:ext xmlns:c16="http://schemas.microsoft.com/office/drawing/2014/chart" uri="{C3380CC4-5D6E-409C-BE32-E72D297353CC}">
              <c16:uniqueId val="{00000000-9758-4796-BC49-D095062D4129}"/>
            </c:ext>
          </c:extLst>
        </c:ser>
        <c:dLbls>
          <c:showLegendKey val="0"/>
          <c:showVal val="0"/>
          <c:showCatName val="0"/>
          <c:showSerName val="0"/>
          <c:showPercent val="0"/>
          <c:showBubbleSize val="0"/>
        </c:dLbls>
        <c:gapWidth val="100"/>
        <c:overlap val="-24"/>
        <c:axId val="1349793887"/>
        <c:axId val="1349802047"/>
      </c:barChart>
      <c:catAx>
        <c:axId val="13497938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9802047"/>
        <c:crosses val="autoZero"/>
        <c:auto val="1"/>
        <c:lblAlgn val="ctr"/>
        <c:lblOffset val="100"/>
        <c:noMultiLvlLbl val="0"/>
      </c:catAx>
      <c:valAx>
        <c:axId val="13498020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9793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[HEART DISEASE PREDICTION.xlsx]Chest Pain vs Heart Disease!PivotTable4</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Heart Disease by Chest Pain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'Chest Pain vs Heart Disease'!$B$3:$B$4</c:f>
              <c:strCache>
                <c:ptCount val="1"/>
                <c:pt idx="0">
                  <c:v>Asymptomatic</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'Chest Pain vs Heart Disease'!$A$5:$A$6</c:f>
              <c:strCache>
                <c:ptCount val="1"/>
                <c:pt idx="0">
                  <c:v>Presence</c:v>
                </c:pt>
              </c:strCache>
            </c:strRef>
          </c:cat>
          <c:val>
            <c:numRef>
              <c:f>'Chest Pain vs Heart Disease'!$B$5:$B$6</c:f>
              <c:numCache>
                <c:formatCode>General</c:formatCode>
                <c:ptCount val="1"/>
                <c:pt idx="0">
                  <c:v>91</c:v>
                </c:pt>
              </c:numCache>
            </c:numRef>
          </c:val>
          <c:extLst>
            <c:ext xmlns:c16="http://schemas.microsoft.com/office/drawing/2014/chart" uri="{C3380CC4-5D6E-409C-BE32-E72D297353CC}">
              <c16:uniqueId val="{00000000-5A02-44AC-A0B8-C1373A819887}"/>
            </c:ext>
          </c:extLst>
        </c:ser>
        <c:ser>
          <c:idx val="1"/>
          <c:order val="1"/>
          <c:tx>
            <c:strRef>
              <c:f>'Chest Pain vs Heart Disease'!$C$3:$C$4</c:f>
              <c:strCache>
                <c:ptCount val="1"/>
                <c:pt idx="0">
                  <c:v>Atypical Angina</c:v>
                </c:pt>
              </c:strCache>
            </c:strRef>
          </c:tx>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'Chest Pain vs Heart Disease'!$A$5:$A$6</c:f>
              <c:strCache>
                <c:ptCount val="1"/>
                <c:pt idx="0">
                  <c:v>Presence</c:v>
                </c:pt>
              </c:strCache>
            </c:strRef>
          </c:cat>
          <c:val>
            <c:numRef>
              <c:f>'Chest Pain vs Heart Disease'!$C$5:$C$6</c:f>
              <c:numCache>
                <c:formatCode>General</c:formatCode>
                <c:ptCount val="1"/>
                <c:pt idx="0">
                  <c:v>7</c:v>
                </c:pt>
              </c:numCache>
            </c:numRef>
          </c:val>
          <c:extLst>
            <c:ext xmlns:c16="http://schemas.microsoft.com/office/drawing/2014/chart" uri="{C3380CC4-5D6E-409C-BE32-E72D297353CC}">
              <c16:uniqueId val="{00000001-5A02-44AC-A0B8-C1373A819887}"/>
            </c:ext>
          </c:extLst>
        </c:ser>
        <c:ser>
          <c:idx val="2"/>
          <c:order val="2"/>
          <c:tx>
            <c:strRef>
              <c:f>'Chest Pain vs Heart Disease'!$D$3:$D$4</c:f>
              <c:strCache>
                <c:ptCount val="1"/>
                <c:pt idx="0">
                  <c:v>Non Anginal Pain</c:v>
                </c:pt>
              </c:strCache>
            </c:strRef>
          </c:tx>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'Chest Pain vs Heart Disease'!$A$5:$A$6</c:f>
              <c:strCache>
                <c:ptCount val="1"/>
                <c:pt idx="0">
                  <c:v>Presence</c:v>
                </c:pt>
              </c:strCache>
            </c:strRef>
          </c:cat>
          <c:val>
            <c:numRef>
              <c:f>'Chest Pain vs Heart Disease'!$D$5:$D$6</c:f>
              <c:numCache>
                <c:formatCode>General</c:formatCode>
                <c:ptCount val="1"/>
                <c:pt idx="0">
                  <c:v>17</c:v>
                </c:pt>
              </c:numCache>
            </c:numRef>
          </c:val>
          <c:extLst>
            <c:ext xmlns:c16="http://schemas.microsoft.com/office/drawing/2014/chart" uri="{C3380CC4-5D6E-409C-BE32-E72D297353CC}">
              <c16:uniqueId val="{00000002-5A02-44AC-A0B8-C1373A819887}"/>
            </c:ext>
          </c:extLst>
        </c:ser>
        <c:ser>
          <c:idx val="3"/>
          <c:order val="3"/>
          <c:tx>
            <c:strRef>
              <c:f>'Chest Pain vs Heart Disease'!$E$3:$E$4</c:f>
              <c:strCache>
                <c:ptCount val="1"/>
                <c:pt idx="0">
                  <c:v>Typical Angina</c:v>
                </c:pt>
              </c:strCache>
            </c:strRef>
          </c:tx>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'Chest Pain vs Heart Disease'!$A$5:$A$6</c:f>
              <c:strCache>
                <c:ptCount val="1"/>
                <c:pt idx="0">
                  <c:v>Presence</c:v>
                </c:pt>
              </c:strCache>
            </c:strRef>
          </c:cat>
          <c:val>
            <c:numRef>
              <c:f>'Chest Pain vs Heart Disease'!$E$5:$E$6</c:f>
              <c:numCache>
                <c:formatCode>General</c:formatCode>
                <c:ptCount val="1"/>
                <c:pt idx="0">
                  <c:v>5</c:v>
                </c:pt>
              </c:numCache>
            </c:numRef>
          </c:val>
          <c:extLst>
            <c:ext xmlns:c16="http://schemas.microsoft.com/office/drawing/2014/chart" uri="{C3380CC4-5D6E-409C-BE32-E72D297353CC}">
              <c16:uniqueId val="{00000003-5A02-44AC-A0B8-C1373A819887}"/>
            </c:ext>
          </c:extLst>
        </c:ser>
        <c:dLbls>
          <c:showLegendKey val="0"/>
          <c:showVal val="0"/>
          <c:showCatName val="0"/>
          <c:showSerName val="0"/>
          <c:showPercent val="0"/>
          <c:showBubbleSize val="0"/>
        </c:dLbls>
        <c:gapWidth val="100"/>
        <c:overlap val="-24"/>
        <c:axId val="1266222527"/>
        <c:axId val="1266200447"/>
      </c:barChart>
      <c:catAx>
        <c:axId val="12662225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6200447"/>
        <c:crosses val="autoZero"/>
        <c:auto val="1"/>
        <c:lblAlgn val="ctr"/>
        <c:lblOffset val="100"/>
        <c:noMultiLvlLbl val="0"/>
      </c:catAx>
      <c:valAx>
        <c:axId val="12662004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622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[HEART DISEASE PREDICTION.xlsx]Exercise Angina and heart dise!PivotTable3</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Exercise-Induce Angina and Heart Disease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'Exercise Angina and heart dise'!$B$3:$B$4</c:f>
              <c:strCache>
                <c:ptCount val="1"/>
                <c:pt idx="0">
                  <c:v>Presence</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'Exercise Angina and heart dise'!$A$5:$A$7</c:f>
              <c:strCache>
                <c:ptCount val="2"/>
                <c:pt idx="0">
                  <c:v>Abnormal</c:v>
                </c:pt>
                <c:pt idx="1">
                  <c:v>Normal</c:v>
                </c:pt>
              </c:strCache>
            </c:strRef>
          </c:cat>
          <c:val>
            <c:numRef>
              <c:f>'Exercise Angina and heart dise'!$B$5:$B$7</c:f>
              <c:numCache>
                <c:formatCode>General</c:formatCode>
                <c:ptCount val="2"/>
                <c:pt idx="0">
                  <c:v>66</c:v>
                </c:pt>
                <c:pt idx="1">
                  <c:v>54</c:v>
                </c:pt>
              </c:numCache>
            </c:numRef>
          </c:val>
          <c:extLst>
            <c:ext xmlns:c16="http://schemas.microsoft.com/office/drawing/2014/chart" uri="{C3380CC4-5D6E-409C-BE32-E72D297353CC}">
              <c16:uniqueId val="{00000000-6A3F-4296-B6F5-1FFFA5E3E689}"/>
            </c:ext>
          </c:extLst>
        </c:ser>
        <c:dLbls>
          <c:showLegendKey val="0"/>
          <c:showVal val="0"/>
          <c:showCatName val="0"/>
          <c:showSerName val="0"/>
          <c:showPercent val="0"/>
          <c:showBubbleSize val="0"/>
        </c:dLbls>
        <c:gapWidth val="100"/>
        <c:overlap val="-24"/>
        <c:axId val="1274265711"/>
        <c:axId val="1274272431"/>
      </c:barChart>
      <c:catAx>
        <c:axId val="12742657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4272431"/>
        <c:crosses val="autoZero"/>
        <c:auto val="1"/>
        <c:lblAlgn val="ctr"/>
        <c:lblOffset val="100"/>
        <c:noMultiLvlLbl val="0"/>
      </c:catAx>
      <c:valAx>
        <c:axId val="12742724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4265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[HEART DISEASE PREDICTION.xlsx]Cholesterol and heart disease!PivotTable2</c:name>
    <c:fmtId val="3"/>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BP and Heart Disease</a:t>
            </a:r>
          </a:p>
        </c:rich>
      </c:tx>
      <c:layout>
        <c:manualLayout>
          <c:xMode val="edge"/>
          <c:yMode val="edge"/>
          <c:x val="0.24794444444444444"/>
          <c:y val="0.1100904053659959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alpha val="88000"/>
            </a:schemeClr>
          </a:solidFill>
          <a:ln>
            <a:solidFill>
              <a:schemeClr val="dk1">
                <a:tint val="88500"/>
                <a:lumMod val="50000"/>
              </a:schemeClr>
            </a:solidFill>
          </a:ln>
          <a:effectLst/>
          <a:scene3d>
            <a:camera prst="orthographicFront"/>
            <a:lightRig rig="threePt" dir="t"/>
          </a:scene3d>
          <a:sp3d prstMaterial="flat">
            <a:contourClr>
              <a:schemeClr val="dk1">
                <a:tint val="88500"/>
                <a:lumMod val="50000"/>
              </a:schemeClr>
            </a:contourClr>
          </a:sp3d>
        </c:spPr>
        <c:marker>
          <c:symbol val="none"/>
        </c:marker>
        <c:dLbl>
          <c:idx val="0"/>
          <c:spPr>
            <a:solidFill>
              <a:schemeClr val="dk1">
                <a:tint val="88500"/>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'Cholesterol and heart disease'!$B$3:$B$4</c:f>
              <c:strCache>
                <c:ptCount val="1"/>
                <c:pt idx="0">
                  <c:v>Presence</c:v>
                </c:pt>
              </c:strCache>
            </c:strRef>
          </c:tx>
          <c:spPr>
            <a:solidFill>
              <a:schemeClr val="dk1">
                <a:tint val="88500"/>
                <a:alpha val="88000"/>
              </a:schemeClr>
            </a:solidFill>
            <a:ln>
              <a:solidFill>
                <a:schemeClr val="dk1">
                  <a:tint val="88500"/>
                  <a:lumMod val="50000"/>
                </a:schemeClr>
              </a:solidFill>
            </a:ln>
            <a:effectLst/>
            <a:scene3d>
              <a:camera prst="orthographicFront"/>
              <a:lightRig rig="threePt" dir="t"/>
            </a:scene3d>
            <a:sp3d prstMaterial="flat">
              <a:contourClr>
                <a:schemeClr val="dk1">
                  <a:tint val="88500"/>
                  <a:lumMod val="50000"/>
                </a:schemeClr>
              </a:contourClr>
            </a:sp3d>
          </c:spPr>
          <c:invertIfNegative val="0"/>
          <c:dLbls>
            <c:spPr>
              <a:solidFill>
                <a:schemeClr val="dk1">
                  <a:tint val="88500"/>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'Cholesterol and heart disease'!$A$5:$A$7</c:f>
              <c:strCache>
                <c:ptCount val="2"/>
                <c:pt idx="0">
                  <c:v>High</c:v>
                </c:pt>
                <c:pt idx="1">
                  <c:v>Normal</c:v>
                </c:pt>
              </c:strCache>
            </c:strRef>
          </c:cat>
          <c:val>
            <c:numRef>
              <c:f>'Cholesterol and heart disease'!$B$5:$B$7</c:f>
              <c:numCache>
                <c:formatCode>General</c:formatCode>
                <c:ptCount val="2"/>
                <c:pt idx="0">
                  <c:v>75</c:v>
                </c:pt>
                <c:pt idx="1">
                  <c:v>45</c:v>
                </c:pt>
              </c:numCache>
            </c:numRef>
          </c:val>
          <c:extLst>
            <c:ext xmlns:c16="http://schemas.microsoft.com/office/drawing/2014/chart" uri="{C3380CC4-5D6E-409C-BE32-E72D297353CC}">
              <c16:uniqueId val="{00000000-EE2E-4C2A-BF71-D557F33223AE}"/>
            </c:ext>
          </c:extLst>
        </c:ser>
        <c:dLbls>
          <c:showLegendKey val="0"/>
          <c:showVal val="1"/>
          <c:showCatName val="0"/>
          <c:showSerName val="0"/>
          <c:showPercent val="0"/>
          <c:showBubbleSize val="0"/>
        </c:dLbls>
        <c:gapWidth val="84"/>
        <c:gapDepth val="53"/>
        <c:shape val="box"/>
        <c:axId val="1273476367"/>
        <c:axId val="1273471567"/>
        <c:axId val="0"/>
      </c:bar3DChart>
      <c:catAx>
        <c:axId val="1273476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3471567"/>
        <c:crosses val="autoZero"/>
        <c:auto val="1"/>
        <c:lblAlgn val="ctr"/>
        <c:lblOffset val="100"/>
        <c:noMultiLvlLbl val="0"/>
      </c:catAx>
      <c:valAx>
        <c:axId val="1273471567"/>
        <c:scaling>
          <c:orientation val="minMax"/>
        </c:scaling>
        <c:delete val="1"/>
        <c:axPos val="b"/>
        <c:numFmt formatCode="General" sourceLinked="1"/>
        <c:majorTickMark val="out"/>
        <c:minorTickMark val="none"/>
        <c:tickLblPos val="nextTo"/>
        <c:crossAx val="1273476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174625</xdr:rowOff>
    </xdr:from>
    <xdr:to>
      <xdr:col>6</xdr:col>
      <xdr:colOff>368300</xdr:colOff>
      <xdr:row>20</xdr:row>
      <xdr:rowOff>107950</xdr:rowOff>
    </xdr:to>
    <xdr:graphicFrame macro="">
      <xdr:nvGraphicFramePr>
        <xdr:cNvPr id="2" name="Chart 1">
          <a:extLst>
            <a:ext uri="{FF2B5EF4-FFF2-40B4-BE49-F238E27FC236}">
              <a16:creationId xmlns:a16="http://schemas.microsoft.com/office/drawing/2014/main" id="{83488B15-9C00-8B5C-9C16-DD9CB93DCD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482600</xdr:colOff>
      <xdr:row>6</xdr:row>
      <xdr:rowOff>171450</xdr:rowOff>
    </xdr:from>
    <xdr:to>
      <xdr:col>12</xdr:col>
      <xdr:colOff>349250</xdr:colOff>
      <xdr:row>20</xdr:row>
      <xdr:rowOff>133349</xdr:rowOff>
    </xdr:to>
    <xdr:graphicFrame macro="">
      <xdr:nvGraphicFramePr>
        <xdr:cNvPr id="3" name="Chart 1">
          <a:extLst>
            <a:ext uri="{FF2B5EF4-FFF2-40B4-BE49-F238E27FC236}">
              <a16:creationId xmlns:a16="http://schemas.microsoft.com/office/drawing/2014/main" id="{0DFD5854-A6F2-6DE4-1B8F-143B511A5A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501650</xdr:colOff>
      <xdr:row>6</xdr:row>
      <xdr:rowOff>146050</xdr:rowOff>
    </xdr:from>
    <xdr:to>
      <xdr:col>19</xdr:col>
      <xdr:colOff>152400</xdr:colOff>
      <xdr:row>20</xdr:row>
      <xdr:rowOff>127000</xdr:rowOff>
    </xdr:to>
    <xdr:graphicFrame macro="">
      <xdr:nvGraphicFramePr>
        <xdr:cNvPr id="4" name="Chart 1">
          <a:extLst>
            <a:ext uri="{FF2B5EF4-FFF2-40B4-BE49-F238E27FC236}">
              <a16:creationId xmlns:a16="http://schemas.microsoft.com/office/drawing/2014/main" id="{DE6DA8D1-598F-3ED6-EE3C-D527A6819E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228600</xdr:colOff>
      <xdr:row>21</xdr:row>
      <xdr:rowOff>73025</xdr:rowOff>
    </xdr:from>
    <xdr:to>
      <xdr:col>6</xdr:col>
      <xdr:colOff>450850</xdr:colOff>
      <xdr:row>36</xdr:row>
      <xdr:rowOff>53975</xdr:rowOff>
    </xdr:to>
    <xdr:graphicFrame macro="">
      <xdr:nvGraphicFramePr>
        <xdr:cNvPr id="5" name="Chart 1">
          <a:extLst>
            <a:ext uri="{FF2B5EF4-FFF2-40B4-BE49-F238E27FC236}">
              <a16:creationId xmlns:a16="http://schemas.microsoft.com/office/drawing/2014/main" id="{5E8E939E-17F2-5350-4F4A-EB7F817F5A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488950</xdr:colOff>
      <xdr:row>21</xdr:row>
      <xdr:rowOff>98425</xdr:rowOff>
    </xdr:from>
    <xdr:to>
      <xdr:col>12</xdr:col>
      <xdr:colOff>361950</xdr:colOff>
      <xdr:row>36</xdr:row>
      <xdr:rowOff>79375</xdr:rowOff>
    </xdr:to>
    <xdr:graphicFrame macro="">
      <xdr:nvGraphicFramePr>
        <xdr:cNvPr id="6" name="Chart 1">
          <a:extLst>
            <a:ext uri="{FF2B5EF4-FFF2-40B4-BE49-F238E27FC236}">
              <a16:creationId xmlns:a16="http://schemas.microsoft.com/office/drawing/2014/main" id="{31033903-ACB0-0968-F0E3-BEB5B901F6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523875</xdr:colOff>
      <xdr:row>21</xdr:row>
      <xdr:rowOff>92075</xdr:rowOff>
    </xdr:from>
    <xdr:to>
      <xdr:col>20</xdr:col>
      <xdr:colOff>219075</xdr:colOff>
      <xdr:row>36</xdr:row>
      <xdr:rowOff>73025</xdr:rowOff>
    </xdr:to>
    <xdr:graphicFrame macro="">
      <xdr:nvGraphicFramePr>
        <xdr:cNvPr id="7" name="Chart 2">
          <a:extLst>
            <a:ext uri="{FF2B5EF4-FFF2-40B4-BE49-F238E27FC236}">
              <a16:creationId xmlns:a16="http://schemas.microsoft.com/office/drawing/2014/main" id="{552A5440-D788-5093-DF48-B19B919689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22.858572800928" createdVersion="8" refreshedVersion="8" minRefreshableVersion="3" recordCount="270" xr:uid="{3A356567-1DBC-4C02-95CB-6A2F692EC447}">
  <cacheSource type="worksheet">
    <worksheetSource name="Table2"/>
  </cacheSource>
  <cacheFields count="23">
    <cacheField name="Age" numFmtId="0">
      <sharedItems containsSemiMixedTypes="0" containsString="0" containsNumber="1" containsInteger="1" minValue="29" maxValue="77"/>
    </cacheField>
    <cacheField name="Age Group" numFmtId="0">
      <sharedItems count="6">
        <s v="61-70"/>
        <s v="51-60"/>
        <s v="71-80"/>
        <s v="41-50"/>
        <s v="31-40"/>
        <s v="Under 30"/>
      </sharedItems>
    </cacheField>
    <cacheField name="Sex" numFmtId="0">
      <sharedItems containsSemiMixedTypes="0" containsString="0" containsNumber="1" containsInteger="1" minValue="0" maxValue="1"/>
    </cacheField>
    <cacheField name="Gender Label" numFmtId="0">
      <sharedItems count="2">
        <s v="Male"/>
        <s v="Female"/>
      </sharedItems>
    </cacheField>
    <cacheField name="Chest pain level" numFmtId="0">
      <sharedItems containsSemiMixedTypes="0" containsString="0" containsNumber="1" containsInteger="1" minValue="1" maxValue="4"/>
    </cacheField>
    <cacheField name="Chest Pain Type" numFmtId="0">
      <sharedItems count="4">
        <s v="Asymptomatic"/>
        <s v="Non Anginal Pain"/>
        <s v="Atypical Angina"/>
        <s v="Typical Angina"/>
      </sharedItems>
    </cacheField>
    <cacheField name="BP" numFmtId="0">
      <sharedItems containsSemiMixedTypes="0" containsString="0" containsNumber="1" containsInteger="1" minValue="94" maxValue="200"/>
    </cacheField>
    <cacheField name="BP Category" numFmtId="0">
      <sharedItems count="4">
        <s v="Slightly Elevated"/>
        <s v="Normal"/>
        <s v="High"/>
        <s v="Very High"/>
      </sharedItems>
    </cacheField>
    <cacheField name="Cholesterol" numFmtId="0">
      <sharedItems containsSemiMixedTypes="0" containsString="0" containsNumber="1" containsInteger="1" minValue="126" maxValue="564"/>
    </cacheField>
    <cacheField name="Cholesterol Level" numFmtId="0">
      <sharedItems count="2">
        <s v="High"/>
        <s v="Normal"/>
      </sharedItems>
    </cacheField>
    <cacheField name="FBS over 120" numFmtId="0">
      <sharedItems containsSemiMixedTypes="0" containsString="0" containsNumber="1" containsInteger="1" minValue="0" maxValue="1" count="2">
        <n v="0"/>
        <n v="1"/>
      </sharedItems>
    </cacheField>
    <cacheField name="Diabetes Indicator" numFmtId="0">
      <sharedItems count="2">
        <s v="Normal"/>
        <s v="High"/>
      </sharedItems>
    </cacheField>
    <cacheField name="EKG results" numFmtId="0">
      <sharedItems containsSemiMixedTypes="0" containsString="0" containsNumber="1" containsInteger="1" minValue="0" maxValue="2"/>
    </cacheField>
    <cacheField name="EKG Result `Flag" numFmtId="0">
      <sharedItems count="2">
        <s v="Abnormal"/>
        <s v="Normal"/>
      </sharedItems>
    </cacheField>
    <cacheField name="Max HR" numFmtId="0">
      <sharedItems containsSemiMixedTypes="0" containsString="0" containsNumber="1" containsInteger="1" minValue="71" maxValue="202"/>
    </cacheField>
    <cacheField name="Exercise angina" numFmtId="0">
      <sharedItems containsSemiMixedTypes="0" containsString="0" containsNumber="1" containsInteger="1" minValue="0" maxValue="1"/>
    </cacheField>
    <cacheField name="Exercise Angina Flag" numFmtId="0">
      <sharedItems count="2">
        <s v="Normal"/>
        <s v="Abnormal"/>
      </sharedItems>
    </cacheField>
    <cacheField name="ST depression" numFmtId="0">
      <sharedItems containsSemiMixedTypes="0" containsString="0" containsNumber="1" minValue="0" maxValue="6.2"/>
    </cacheField>
    <cacheField name="Slope of ST" numFmtId="0">
      <sharedItems containsSemiMixedTypes="0" containsString="0" containsNumber="1" containsInteger="1" minValue="1" maxValue="3"/>
    </cacheField>
    <cacheField name="Number of vessels fluro" numFmtId="0">
      <sharedItems containsSemiMixedTypes="0" containsString="0" containsNumber="1" containsInteger="1" minValue="0" maxValue="3"/>
    </cacheField>
    <cacheField name="Thallium" numFmtId="0">
      <sharedItems containsSemiMixedTypes="0" containsString="0" containsNumber="1" containsInteger="1" minValue="3" maxValue="7"/>
    </cacheField>
    <cacheField name="At-Risk Status" numFmtId="0">
      <sharedItems count="2">
        <s v="At Risk"/>
        <s v="Not At Risk"/>
      </sharedItems>
    </cacheField>
    <cacheField name="Heart Disease" numFmtId="0">
      <sharedItems count="2">
        <s v="Presence"/>
        <s v="Absenc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
  <r>
    <n v="70"/>
    <x v="0"/>
    <n v="1"/>
    <x v="0"/>
    <n v="4"/>
    <x v="0"/>
    <n v="130"/>
    <x v="0"/>
    <n v="322"/>
    <x v="0"/>
    <x v="0"/>
    <x v="0"/>
    <n v="2"/>
    <x v="0"/>
    <n v="109"/>
    <n v="0"/>
    <x v="0"/>
    <n v="2.4"/>
    <n v="2"/>
    <n v="3"/>
    <n v="3"/>
    <x v="0"/>
    <x v="0"/>
  </r>
  <r>
    <n v="67"/>
    <x v="0"/>
    <n v="0"/>
    <x v="1"/>
    <n v="3"/>
    <x v="1"/>
    <n v="115"/>
    <x v="1"/>
    <n v="564"/>
    <x v="0"/>
    <x v="0"/>
    <x v="0"/>
    <n v="2"/>
    <x v="0"/>
    <n v="160"/>
    <n v="0"/>
    <x v="0"/>
    <n v="1.6"/>
    <n v="2"/>
    <n v="0"/>
    <n v="7"/>
    <x v="0"/>
    <x v="1"/>
  </r>
  <r>
    <n v="57"/>
    <x v="1"/>
    <n v="1"/>
    <x v="0"/>
    <n v="2"/>
    <x v="2"/>
    <n v="124"/>
    <x v="0"/>
    <n v="261"/>
    <x v="0"/>
    <x v="0"/>
    <x v="0"/>
    <n v="0"/>
    <x v="1"/>
    <n v="141"/>
    <n v="0"/>
    <x v="0"/>
    <n v="0.3"/>
    <n v="1"/>
    <n v="0"/>
    <n v="7"/>
    <x v="0"/>
    <x v="0"/>
  </r>
  <r>
    <n v="64"/>
    <x v="0"/>
    <n v="1"/>
    <x v="0"/>
    <n v="4"/>
    <x v="0"/>
    <n v="128"/>
    <x v="0"/>
    <n v="263"/>
    <x v="0"/>
    <x v="0"/>
    <x v="0"/>
    <n v="0"/>
    <x v="1"/>
    <n v="105"/>
    <n v="1"/>
    <x v="1"/>
    <n v="0.2"/>
    <n v="2"/>
    <n v="1"/>
    <n v="7"/>
    <x v="0"/>
    <x v="1"/>
  </r>
  <r>
    <n v="74"/>
    <x v="2"/>
    <n v="0"/>
    <x v="1"/>
    <n v="2"/>
    <x v="2"/>
    <n v="120"/>
    <x v="1"/>
    <n v="269"/>
    <x v="0"/>
    <x v="0"/>
    <x v="0"/>
    <n v="2"/>
    <x v="0"/>
    <n v="121"/>
    <n v="1"/>
    <x v="1"/>
    <n v="0.2"/>
    <n v="1"/>
    <n v="1"/>
    <n v="3"/>
    <x v="0"/>
    <x v="1"/>
  </r>
  <r>
    <n v="65"/>
    <x v="0"/>
    <n v="1"/>
    <x v="0"/>
    <n v="4"/>
    <x v="0"/>
    <n v="120"/>
    <x v="1"/>
    <n v="177"/>
    <x v="1"/>
    <x v="0"/>
    <x v="0"/>
    <n v="0"/>
    <x v="1"/>
    <n v="140"/>
    <n v="0"/>
    <x v="0"/>
    <n v="0.4"/>
    <n v="1"/>
    <n v="0"/>
    <n v="7"/>
    <x v="0"/>
    <x v="1"/>
  </r>
  <r>
    <n v="56"/>
    <x v="1"/>
    <n v="1"/>
    <x v="0"/>
    <n v="3"/>
    <x v="1"/>
    <n v="130"/>
    <x v="0"/>
    <n v="256"/>
    <x v="0"/>
    <x v="1"/>
    <x v="1"/>
    <n v="2"/>
    <x v="0"/>
    <n v="142"/>
    <n v="1"/>
    <x v="1"/>
    <n v="0.6"/>
    <n v="2"/>
    <n v="1"/>
    <n v="6"/>
    <x v="0"/>
    <x v="0"/>
  </r>
  <r>
    <n v="59"/>
    <x v="1"/>
    <n v="1"/>
    <x v="0"/>
    <n v="4"/>
    <x v="0"/>
    <n v="110"/>
    <x v="1"/>
    <n v="239"/>
    <x v="1"/>
    <x v="0"/>
    <x v="0"/>
    <n v="2"/>
    <x v="0"/>
    <n v="142"/>
    <n v="1"/>
    <x v="1"/>
    <n v="1.2"/>
    <n v="2"/>
    <n v="1"/>
    <n v="7"/>
    <x v="0"/>
    <x v="0"/>
  </r>
  <r>
    <n v="60"/>
    <x v="1"/>
    <n v="1"/>
    <x v="0"/>
    <n v="4"/>
    <x v="0"/>
    <n v="140"/>
    <x v="2"/>
    <n v="293"/>
    <x v="0"/>
    <x v="0"/>
    <x v="0"/>
    <n v="2"/>
    <x v="0"/>
    <n v="170"/>
    <n v="0"/>
    <x v="0"/>
    <n v="1.2"/>
    <n v="2"/>
    <n v="2"/>
    <n v="7"/>
    <x v="0"/>
    <x v="0"/>
  </r>
  <r>
    <n v="63"/>
    <x v="0"/>
    <n v="0"/>
    <x v="1"/>
    <n v="4"/>
    <x v="0"/>
    <n v="150"/>
    <x v="3"/>
    <n v="407"/>
    <x v="0"/>
    <x v="0"/>
    <x v="0"/>
    <n v="2"/>
    <x v="0"/>
    <n v="154"/>
    <n v="0"/>
    <x v="0"/>
    <n v="4"/>
    <n v="2"/>
    <n v="3"/>
    <n v="7"/>
    <x v="0"/>
    <x v="0"/>
  </r>
  <r>
    <n v="59"/>
    <x v="1"/>
    <n v="1"/>
    <x v="0"/>
    <n v="4"/>
    <x v="0"/>
    <n v="135"/>
    <x v="2"/>
    <n v="234"/>
    <x v="1"/>
    <x v="0"/>
    <x v="0"/>
    <n v="0"/>
    <x v="1"/>
    <n v="161"/>
    <n v="0"/>
    <x v="0"/>
    <n v="0.5"/>
    <n v="2"/>
    <n v="0"/>
    <n v="7"/>
    <x v="0"/>
    <x v="1"/>
  </r>
  <r>
    <n v="53"/>
    <x v="1"/>
    <n v="1"/>
    <x v="0"/>
    <n v="4"/>
    <x v="0"/>
    <n v="142"/>
    <x v="3"/>
    <n v="226"/>
    <x v="1"/>
    <x v="0"/>
    <x v="0"/>
    <n v="2"/>
    <x v="0"/>
    <n v="111"/>
    <n v="1"/>
    <x v="1"/>
    <n v="0"/>
    <n v="1"/>
    <n v="0"/>
    <n v="7"/>
    <x v="0"/>
    <x v="1"/>
  </r>
  <r>
    <n v="44"/>
    <x v="3"/>
    <n v="1"/>
    <x v="0"/>
    <n v="3"/>
    <x v="1"/>
    <n v="140"/>
    <x v="2"/>
    <n v="235"/>
    <x v="1"/>
    <x v="0"/>
    <x v="0"/>
    <n v="2"/>
    <x v="0"/>
    <n v="180"/>
    <n v="0"/>
    <x v="0"/>
    <n v="0"/>
    <n v="1"/>
    <n v="0"/>
    <n v="3"/>
    <x v="0"/>
    <x v="1"/>
  </r>
  <r>
    <n v="61"/>
    <x v="0"/>
    <n v="1"/>
    <x v="0"/>
    <n v="1"/>
    <x v="3"/>
    <n v="134"/>
    <x v="2"/>
    <n v="234"/>
    <x v="1"/>
    <x v="0"/>
    <x v="0"/>
    <n v="0"/>
    <x v="1"/>
    <n v="145"/>
    <n v="0"/>
    <x v="0"/>
    <n v="2.6"/>
    <n v="2"/>
    <n v="2"/>
    <n v="3"/>
    <x v="0"/>
    <x v="0"/>
  </r>
  <r>
    <n v="57"/>
    <x v="1"/>
    <n v="0"/>
    <x v="1"/>
    <n v="4"/>
    <x v="0"/>
    <n v="128"/>
    <x v="0"/>
    <n v="303"/>
    <x v="0"/>
    <x v="0"/>
    <x v="0"/>
    <n v="2"/>
    <x v="0"/>
    <n v="159"/>
    <n v="0"/>
    <x v="0"/>
    <n v="0"/>
    <n v="1"/>
    <n v="1"/>
    <n v="3"/>
    <x v="0"/>
    <x v="1"/>
  </r>
  <r>
    <n v="71"/>
    <x v="2"/>
    <n v="0"/>
    <x v="1"/>
    <n v="4"/>
    <x v="0"/>
    <n v="112"/>
    <x v="1"/>
    <n v="149"/>
    <x v="1"/>
    <x v="0"/>
    <x v="0"/>
    <n v="0"/>
    <x v="1"/>
    <n v="125"/>
    <n v="0"/>
    <x v="0"/>
    <n v="1.6"/>
    <n v="2"/>
    <n v="0"/>
    <n v="3"/>
    <x v="0"/>
    <x v="1"/>
  </r>
  <r>
    <n v="46"/>
    <x v="3"/>
    <n v="1"/>
    <x v="0"/>
    <n v="4"/>
    <x v="0"/>
    <n v="140"/>
    <x v="2"/>
    <n v="311"/>
    <x v="0"/>
    <x v="0"/>
    <x v="0"/>
    <n v="0"/>
    <x v="1"/>
    <n v="120"/>
    <n v="1"/>
    <x v="1"/>
    <n v="1.8"/>
    <n v="2"/>
    <n v="2"/>
    <n v="7"/>
    <x v="0"/>
    <x v="0"/>
  </r>
  <r>
    <n v="53"/>
    <x v="1"/>
    <n v="1"/>
    <x v="0"/>
    <n v="4"/>
    <x v="0"/>
    <n v="140"/>
    <x v="2"/>
    <n v="203"/>
    <x v="1"/>
    <x v="1"/>
    <x v="1"/>
    <n v="2"/>
    <x v="0"/>
    <n v="155"/>
    <n v="1"/>
    <x v="1"/>
    <n v="3.1"/>
    <n v="3"/>
    <n v="0"/>
    <n v="7"/>
    <x v="0"/>
    <x v="0"/>
  </r>
  <r>
    <n v="64"/>
    <x v="0"/>
    <n v="1"/>
    <x v="0"/>
    <n v="1"/>
    <x v="3"/>
    <n v="110"/>
    <x v="1"/>
    <n v="211"/>
    <x v="1"/>
    <x v="0"/>
    <x v="0"/>
    <n v="2"/>
    <x v="0"/>
    <n v="144"/>
    <n v="1"/>
    <x v="1"/>
    <n v="1.8"/>
    <n v="2"/>
    <n v="0"/>
    <n v="3"/>
    <x v="0"/>
    <x v="1"/>
  </r>
  <r>
    <n v="40"/>
    <x v="4"/>
    <n v="1"/>
    <x v="0"/>
    <n v="1"/>
    <x v="3"/>
    <n v="140"/>
    <x v="2"/>
    <n v="199"/>
    <x v="1"/>
    <x v="0"/>
    <x v="0"/>
    <n v="0"/>
    <x v="1"/>
    <n v="178"/>
    <n v="1"/>
    <x v="1"/>
    <n v="1.4"/>
    <n v="1"/>
    <n v="0"/>
    <n v="7"/>
    <x v="0"/>
    <x v="1"/>
  </r>
  <r>
    <n v="67"/>
    <x v="0"/>
    <n v="1"/>
    <x v="0"/>
    <n v="4"/>
    <x v="0"/>
    <n v="120"/>
    <x v="1"/>
    <n v="229"/>
    <x v="1"/>
    <x v="0"/>
    <x v="0"/>
    <n v="2"/>
    <x v="0"/>
    <n v="129"/>
    <n v="1"/>
    <x v="1"/>
    <n v="2.6"/>
    <n v="2"/>
    <n v="2"/>
    <n v="7"/>
    <x v="0"/>
    <x v="0"/>
  </r>
  <r>
    <n v="48"/>
    <x v="3"/>
    <n v="1"/>
    <x v="0"/>
    <n v="2"/>
    <x v="2"/>
    <n v="130"/>
    <x v="0"/>
    <n v="245"/>
    <x v="0"/>
    <x v="0"/>
    <x v="0"/>
    <n v="2"/>
    <x v="0"/>
    <n v="180"/>
    <n v="0"/>
    <x v="0"/>
    <n v="0.2"/>
    <n v="2"/>
    <n v="0"/>
    <n v="3"/>
    <x v="0"/>
    <x v="1"/>
  </r>
  <r>
    <n v="43"/>
    <x v="3"/>
    <n v="1"/>
    <x v="0"/>
    <n v="4"/>
    <x v="0"/>
    <n v="115"/>
    <x v="1"/>
    <n v="303"/>
    <x v="0"/>
    <x v="0"/>
    <x v="0"/>
    <n v="0"/>
    <x v="1"/>
    <n v="181"/>
    <n v="0"/>
    <x v="0"/>
    <n v="1.2"/>
    <n v="2"/>
    <n v="0"/>
    <n v="3"/>
    <x v="0"/>
    <x v="1"/>
  </r>
  <r>
    <n v="47"/>
    <x v="3"/>
    <n v="1"/>
    <x v="0"/>
    <n v="4"/>
    <x v="0"/>
    <n v="112"/>
    <x v="1"/>
    <n v="204"/>
    <x v="1"/>
    <x v="0"/>
    <x v="0"/>
    <n v="0"/>
    <x v="1"/>
    <n v="143"/>
    <n v="0"/>
    <x v="0"/>
    <n v="0.1"/>
    <n v="1"/>
    <n v="0"/>
    <n v="3"/>
    <x v="1"/>
    <x v="1"/>
  </r>
  <r>
    <n v="54"/>
    <x v="1"/>
    <n v="0"/>
    <x v="1"/>
    <n v="2"/>
    <x v="2"/>
    <n v="132"/>
    <x v="2"/>
    <n v="288"/>
    <x v="0"/>
    <x v="1"/>
    <x v="1"/>
    <n v="2"/>
    <x v="0"/>
    <n v="159"/>
    <n v="1"/>
    <x v="1"/>
    <n v="0"/>
    <n v="1"/>
    <n v="1"/>
    <n v="3"/>
    <x v="0"/>
    <x v="1"/>
  </r>
  <r>
    <n v="48"/>
    <x v="3"/>
    <n v="0"/>
    <x v="1"/>
    <n v="3"/>
    <x v="1"/>
    <n v="130"/>
    <x v="0"/>
    <n v="275"/>
    <x v="0"/>
    <x v="0"/>
    <x v="0"/>
    <n v="0"/>
    <x v="1"/>
    <n v="139"/>
    <n v="0"/>
    <x v="0"/>
    <n v="0.2"/>
    <n v="1"/>
    <n v="0"/>
    <n v="3"/>
    <x v="0"/>
    <x v="1"/>
  </r>
  <r>
    <n v="46"/>
    <x v="3"/>
    <n v="0"/>
    <x v="1"/>
    <n v="4"/>
    <x v="0"/>
    <n v="138"/>
    <x v="2"/>
    <n v="243"/>
    <x v="0"/>
    <x v="0"/>
    <x v="0"/>
    <n v="2"/>
    <x v="0"/>
    <n v="152"/>
    <n v="1"/>
    <x v="1"/>
    <n v="0"/>
    <n v="2"/>
    <n v="0"/>
    <n v="3"/>
    <x v="0"/>
    <x v="1"/>
  </r>
  <r>
    <n v="51"/>
    <x v="1"/>
    <n v="0"/>
    <x v="1"/>
    <n v="3"/>
    <x v="1"/>
    <n v="120"/>
    <x v="1"/>
    <n v="295"/>
    <x v="0"/>
    <x v="0"/>
    <x v="0"/>
    <n v="2"/>
    <x v="0"/>
    <n v="157"/>
    <n v="0"/>
    <x v="0"/>
    <n v="0.6"/>
    <n v="1"/>
    <n v="0"/>
    <n v="3"/>
    <x v="0"/>
    <x v="1"/>
  </r>
  <r>
    <n v="58"/>
    <x v="1"/>
    <n v="1"/>
    <x v="0"/>
    <n v="3"/>
    <x v="1"/>
    <n v="112"/>
    <x v="1"/>
    <n v="230"/>
    <x v="1"/>
    <x v="0"/>
    <x v="0"/>
    <n v="2"/>
    <x v="0"/>
    <n v="165"/>
    <n v="0"/>
    <x v="0"/>
    <n v="2.5"/>
    <n v="2"/>
    <n v="1"/>
    <n v="7"/>
    <x v="0"/>
    <x v="0"/>
  </r>
  <r>
    <n v="71"/>
    <x v="2"/>
    <n v="0"/>
    <x v="1"/>
    <n v="3"/>
    <x v="1"/>
    <n v="110"/>
    <x v="1"/>
    <n v="265"/>
    <x v="0"/>
    <x v="1"/>
    <x v="1"/>
    <n v="2"/>
    <x v="0"/>
    <n v="130"/>
    <n v="0"/>
    <x v="0"/>
    <n v="0"/>
    <n v="1"/>
    <n v="1"/>
    <n v="3"/>
    <x v="0"/>
    <x v="1"/>
  </r>
  <r>
    <n v="57"/>
    <x v="1"/>
    <n v="1"/>
    <x v="0"/>
    <n v="3"/>
    <x v="1"/>
    <n v="128"/>
    <x v="0"/>
    <n v="229"/>
    <x v="1"/>
    <x v="0"/>
    <x v="0"/>
    <n v="2"/>
    <x v="0"/>
    <n v="150"/>
    <n v="0"/>
    <x v="0"/>
    <n v="0.4"/>
    <n v="2"/>
    <n v="1"/>
    <n v="7"/>
    <x v="0"/>
    <x v="0"/>
  </r>
  <r>
    <n v="66"/>
    <x v="0"/>
    <n v="1"/>
    <x v="0"/>
    <n v="4"/>
    <x v="0"/>
    <n v="160"/>
    <x v="3"/>
    <n v="228"/>
    <x v="1"/>
    <x v="0"/>
    <x v="0"/>
    <n v="2"/>
    <x v="0"/>
    <n v="138"/>
    <n v="0"/>
    <x v="0"/>
    <n v="2.2999999999999998"/>
    <n v="1"/>
    <n v="0"/>
    <n v="6"/>
    <x v="0"/>
    <x v="1"/>
  </r>
  <r>
    <n v="37"/>
    <x v="4"/>
    <n v="0"/>
    <x v="1"/>
    <n v="3"/>
    <x v="1"/>
    <n v="120"/>
    <x v="1"/>
    <n v="215"/>
    <x v="1"/>
    <x v="0"/>
    <x v="0"/>
    <n v="0"/>
    <x v="1"/>
    <n v="170"/>
    <n v="0"/>
    <x v="0"/>
    <n v="0"/>
    <n v="1"/>
    <n v="0"/>
    <n v="3"/>
    <x v="1"/>
    <x v="1"/>
  </r>
  <r>
    <n v="59"/>
    <x v="1"/>
    <n v="1"/>
    <x v="0"/>
    <n v="4"/>
    <x v="0"/>
    <n v="170"/>
    <x v="3"/>
    <n v="326"/>
    <x v="0"/>
    <x v="0"/>
    <x v="0"/>
    <n v="2"/>
    <x v="0"/>
    <n v="140"/>
    <n v="1"/>
    <x v="1"/>
    <n v="3.4"/>
    <n v="3"/>
    <n v="0"/>
    <n v="7"/>
    <x v="0"/>
    <x v="0"/>
  </r>
  <r>
    <n v="50"/>
    <x v="3"/>
    <n v="1"/>
    <x v="0"/>
    <n v="4"/>
    <x v="0"/>
    <n v="144"/>
    <x v="3"/>
    <n v="200"/>
    <x v="1"/>
    <x v="0"/>
    <x v="0"/>
    <n v="2"/>
    <x v="0"/>
    <n v="126"/>
    <n v="1"/>
    <x v="1"/>
    <n v="0.9"/>
    <n v="2"/>
    <n v="0"/>
    <n v="7"/>
    <x v="0"/>
    <x v="0"/>
  </r>
  <r>
    <n v="48"/>
    <x v="3"/>
    <n v="1"/>
    <x v="0"/>
    <n v="4"/>
    <x v="0"/>
    <n v="130"/>
    <x v="0"/>
    <n v="256"/>
    <x v="0"/>
    <x v="1"/>
    <x v="1"/>
    <n v="2"/>
    <x v="0"/>
    <n v="150"/>
    <n v="1"/>
    <x v="1"/>
    <n v="0"/>
    <n v="1"/>
    <n v="2"/>
    <n v="7"/>
    <x v="0"/>
    <x v="0"/>
  </r>
  <r>
    <n v="61"/>
    <x v="0"/>
    <n v="1"/>
    <x v="0"/>
    <n v="4"/>
    <x v="0"/>
    <n v="140"/>
    <x v="2"/>
    <n v="207"/>
    <x v="1"/>
    <x v="0"/>
    <x v="0"/>
    <n v="2"/>
    <x v="0"/>
    <n v="138"/>
    <n v="1"/>
    <x v="1"/>
    <n v="1.9"/>
    <n v="1"/>
    <n v="1"/>
    <n v="7"/>
    <x v="0"/>
    <x v="0"/>
  </r>
  <r>
    <n v="59"/>
    <x v="1"/>
    <n v="1"/>
    <x v="0"/>
    <n v="1"/>
    <x v="3"/>
    <n v="160"/>
    <x v="3"/>
    <n v="273"/>
    <x v="0"/>
    <x v="0"/>
    <x v="0"/>
    <n v="2"/>
    <x v="0"/>
    <n v="125"/>
    <n v="0"/>
    <x v="0"/>
    <n v="0"/>
    <n v="1"/>
    <n v="0"/>
    <n v="3"/>
    <x v="0"/>
    <x v="0"/>
  </r>
  <r>
    <n v="42"/>
    <x v="3"/>
    <n v="1"/>
    <x v="0"/>
    <n v="3"/>
    <x v="1"/>
    <n v="130"/>
    <x v="0"/>
    <n v="180"/>
    <x v="1"/>
    <x v="0"/>
    <x v="0"/>
    <n v="0"/>
    <x v="1"/>
    <n v="150"/>
    <n v="0"/>
    <x v="0"/>
    <n v="0"/>
    <n v="1"/>
    <n v="0"/>
    <n v="3"/>
    <x v="1"/>
    <x v="1"/>
  </r>
  <r>
    <n v="48"/>
    <x v="3"/>
    <n v="1"/>
    <x v="0"/>
    <n v="4"/>
    <x v="0"/>
    <n v="122"/>
    <x v="0"/>
    <n v="222"/>
    <x v="1"/>
    <x v="0"/>
    <x v="0"/>
    <n v="2"/>
    <x v="0"/>
    <n v="186"/>
    <n v="0"/>
    <x v="0"/>
    <n v="0"/>
    <n v="1"/>
    <n v="0"/>
    <n v="3"/>
    <x v="0"/>
    <x v="1"/>
  </r>
  <r>
    <n v="40"/>
    <x v="4"/>
    <n v="1"/>
    <x v="0"/>
    <n v="4"/>
    <x v="0"/>
    <n v="152"/>
    <x v="3"/>
    <n v="223"/>
    <x v="1"/>
    <x v="0"/>
    <x v="0"/>
    <n v="0"/>
    <x v="1"/>
    <n v="181"/>
    <n v="0"/>
    <x v="0"/>
    <n v="0"/>
    <n v="1"/>
    <n v="0"/>
    <n v="7"/>
    <x v="0"/>
    <x v="0"/>
  </r>
  <r>
    <n v="62"/>
    <x v="0"/>
    <n v="0"/>
    <x v="1"/>
    <n v="4"/>
    <x v="0"/>
    <n v="124"/>
    <x v="0"/>
    <n v="209"/>
    <x v="1"/>
    <x v="0"/>
    <x v="0"/>
    <n v="0"/>
    <x v="1"/>
    <n v="163"/>
    <n v="0"/>
    <x v="0"/>
    <n v="0"/>
    <n v="1"/>
    <n v="0"/>
    <n v="3"/>
    <x v="1"/>
    <x v="1"/>
  </r>
  <r>
    <n v="44"/>
    <x v="3"/>
    <n v="1"/>
    <x v="0"/>
    <n v="3"/>
    <x v="1"/>
    <n v="130"/>
    <x v="0"/>
    <n v="233"/>
    <x v="1"/>
    <x v="0"/>
    <x v="0"/>
    <n v="0"/>
    <x v="1"/>
    <n v="179"/>
    <n v="1"/>
    <x v="1"/>
    <n v="0.4"/>
    <n v="1"/>
    <n v="0"/>
    <n v="3"/>
    <x v="0"/>
    <x v="1"/>
  </r>
  <r>
    <n v="46"/>
    <x v="3"/>
    <n v="1"/>
    <x v="0"/>
    <n v="2"/>
    <x v="2"/>
    <n v="101"/>
    <x v="1"/>
    <n v="197"/>
    <x v="1"/>
    <x v="1"/>
    <x v="1"/>
    <n v="0"/>
    <x v="1"/>
    <n v="156"/>
    <n v="0"/>
    <x v="0"/>
    <n v="0"/>
    <n v="1"/>
    <n v="0"/>
    <n v="7"/>
    <x v="0"/>
    <x v="1"/>
  </r>
  <r>
    <n v="59"/>
    <x v="1"/>
    <n v="1"/>
    <x v="0"/>
    <n v="3"/>
    <x v="1"/>
    <n v="126"/>
    <x v="0"/>
    <n v="218"/>
    <x v="1"/>
    <x v="1"/>
    <x v="1"/>
    <n v="0"/>
    <x v="1"/>
    <n v="134"/>
    <n v="0"/>
    <x v="0"/>
    <n v="2.2000000000000002"/>
    <n v="2"/>
    <n v="1"/>
    <n v="6"/>
    <x v="0"/>
    <x v="0"/>
  </r>
  <r>
    <n v="58"/>
    <x v="1"/>
    <n v="1"/>
    <x v="0"/>
    <n v="3"/>
    <x v="1"/>
    <n v="140"/>
    <x v="2"/>
    <n v="211"/>
    <x v="1"/>
    <x v="1"/>
    <x v="1"/>
    <n v="2"/>
    <x v="0"/>
    <n v="165"/>
    <n v="0"/>
    <x v="0"/>
    <n v="0"/>
    <n v="1"/>
    <n v="0"/>
    <n v="3"/>
    <x v="0"/>
    <x v="1"/>
  </r>
  <r>
    <n v="49"/>
    <x v="3"/>
    <n v="1"/>
    <x v="0"/>
    <n v="3"/>
    <x v="1"/>
    <n v="118"/>
    <x v="1"/>
    <n v="149"/>
    <x v="1"/>
    <x v="0"/>
    <x v="0"/>
    <n v="2"/>
    <x v="0"/>
    <n v="126"/>
    <n v="0"/>
    <x v="0"/>
    <n v="0.8"/>
    <n v="1"/>
    <n v="3"/>
    <n v="3"/>
    <x v="0"/>
    <x v="0"/>
  </r>
  <r>
    <n v="44"/>
    <x v="3"/>
    <n v="1"/>
    <x v="0"/>
    <n v="4"/>
    <x v="0"/>
    <n v="110"/>
    <x v="1"/>
    <n v="197"/>
    <x v="1"/>
    <x v="0"/>
    <x v="0"/>
    <n v="2"/>
    <x v="0"/>
    <n v="177"/>
    <n v="0"/>
    <x v="0"/>
    <n v="0"/>
    <n v="1"/>
    <n v="1"/>
    <n v="3"/>
    <x v="0"/>
    <x v="0"/>
  </r>
  <r>
    <n v="66"/>
    <x v="0"/>
    <n v="1"/>
    <x v="0"/>
    <n v="2"/>
    <x v="2"/>
    <n v="160"/>
    <x v="3"/>
    <n v="246"/>
    <x v="0"/>
    <x v="0"/>
    <x v="0"/>
    <n v="0"/>
    <x v="1"/>
    <n v="120"/>
    <n v="1"/>
    <x v="1"/>
    <n v="0"/>
    <n v="2"/>
    <n v="3"/>
    <n v="6"/>
    <x v="0"/>
    <x v="0"/>
  </r>
  <r>
    <n v="65"/>
    <x v="0"/>
    <n v="0"/>
    <x v="1"/>
    <n v="4"/>
    <x v="0"/>
    <n v="150"/>
    <x v="3"/>
    <n v="225"/>
    <x v="1"/>
    <x v="0"/>
    <x v="0"/>
    <n v="2"/>
    <x v="0"/>
    <n v="114"/>
    <n v="0"/>
    <x v="0"/>
    <n v="1"/>
    <n v="2"/>
    <n v="3"/>
    <n v="7"/>
    <x v="0"/>
    <x v="0"/>
  </r>
  <r>
    <n v="42"/>
    <x v="3"/>
    <n v="1"/>
    <x v="0"/>
    <n v="4"/>
    <x v="0"/>
    <n v="136"/>
    <x v="2"/>
    <n v="315"/>
    <x v="0"/>
    <x v="0"/>
    <x v="0"/>
    <n v="0"/>
    <x v="1"/>
    <n v="125"/>
    <n v="1"/>
    <x v="1"/>
    <n v="1.8"/>
    <n v="2"/>
    <n v="0"/>
    <n v="6"/>
    <x v="0"/>
    <x v="0"/>
  </r>
  <r>
    <n v="52"/>
    <x v="1"/>
    <n v="1"/>
    <x v="0"/>
    <n v="2"/>
    <x v="2"/>
    <n v="128"/>
    <x v="0"/>
    <n v="205"/>
    <x v="1"/>
    <x v="1"/>
    <x v="1"/>
    <n v="0"/>
    <x v="1"/>
    <n v="184"/>
    <n v="0"/>
    <x v="0"/>
    <n v="0"/>
    <n v="1"/>
    <n v="0"/>
    <n v="3"/>
    <x v="0"/>
    <x v="1"/>
  </r>
  <r>
    <n v="65"/>
    <x v="0"/>
    <n v="0"/>
    <x v="1"/>
    <n v="3"/>
    <x v="1"/>
    <n v="140"/>
    <x v="2"/>
    <n v="417"/>
    <x v="0"/>
    <x v="1"/>
    <x v="1"/>
    <n v="2"/>
    <x v="0"/>
    <n v="157"/>
    <n v="0"/>
    <x v="0"/>
    <n v="0.8"/>
    <n v="1"/>
    <n v="1"/>
    <n v="3"/>
    <x v="0"/>
    <x v="1"/>
  </r>
  <r>
    <n v="63"/>
    <x v="0"/>
    <n v="0"/>
    <x v="1"/>
    <n v="2"/>
    <x v="2"/>
    <n v="140"/>
    <x v="2"/>
    <n v="195"/>
    <x v="1"/>
    <x v="0"/>
    <x v="0"/>
    <n v="0"/>
    <x v="1"/>
    <n v="179"/>
    <n v="0"/>
    <x v="0"/>
    <n v="0"/>
    <n v="1"/>
    <n v="2"/>
    <n v="3"/>
    <x v="0"/>
    <x v="1"/>
  </r>
  <r>
    <n v="45"/>
    <x v="3"/>
    <n v="0"/>
    <x v="1"/>
    <n v="2"/>
    <x v="2"/>
    <n v="130"/>
    <x v="0"/>
    <n v="234"/>
    <x v="1"/>
    <x v="0"/>
    <x v="0"/>
    <n v="2"/>
    <x v="0"/>
    <n v="175"/>
    <n v="0"/>
    <x v="0"/>
    <n v="0.6"/>
    <n v="2"/>
    <n v="0"/>
    <n v="3"/>
    <x v="0"/>
    <x v="1"/>
  </r>
  <r>
    <n v="41"/>
    <x v="3"/>
    <n v="0"/>
    <x v="1"/>
    <n v="2"/>
    <x v="2"/>
    <n v="105"/>
    <x v="1"/>
    <n v="198"/>
    <x v="1"/>
    <x v="0"/>
    <x v="0"/>
    <n v="0"/>
    <x v="1"/>
    <n v="168"/>
    <n v="0"/>
    <x v="0"/>
    <n v="0"/>
    <n v="1"/>
    <n v="1"/>
    <n v="3"/>
    <x v="0"/>
    <x v="1"/>
  </r>
  <r>
    <n v="61"/>
    <x v="0"/>
    <n v="1"/>
    <x v="0"/>
    <n v="4"/>
    <x v="0"/>
    <n v="138"/>
    <x v="2"/>
    <n v="166"/>
    <x v="1"/>
    <x v="0"/>
    <x v="0"/>
    <n v="2"/>
    <x v="0"/>
    <n v="125"/>
    <n v="1"/>
    <x v="1"/>
    <n v="3.6"/>
    <n v="2"/>
    <n v="1"/>
    <n v="3"/>
    <x v="0"/>
    <x v="0"/>
  </r>
  <r>
    <n v="60"/>
    <x v="1"/>
    <n v="0"/>
    <x v="1"/>
    <n v="3"/>
    <x v="1"/>
    <n v="120"/>
    <x v="1"/>
    <n v="178"/>
    <x v="1"/>
    <x v="1"/>
    <x v="1"/>
    <n v="0"/>
    <x v="1"/>
    <n v="96"/>
    <n v="0"/>
    <x v="0"/>
    <n v="0"/>
    <n v="1"/>
    <n v="0"/>
    <n v="3"/>
    <x v="0"/>
    <x v="1"/>
  </r>
  <r>
    <n v="59"/>
    <x v="1"/>
    <n v="0"/>
    <x v="1"/>
    <n v="4"/>
    <x v="0"/>
    <n v="174"/>
    <x v="3"/>
    <n v="249"/>
    <x v="0"/>
    <x v="0"/>
    <x v="0"/>
    <n v="0"/>
    <x v="1"/>
    <n v="143"/>
    <n v="1"/>
    <x v="1"/>
    <n v="0"/>
    <n v="2"/>
    <n v="0"/>
    <n v="3"/>
    <x v="0"/>
    <x v="0"/>
  </r>
  <r>
    <n v="62"/>
    <x v="0"/>
    <n v="1"/>
    <x v="0"/>
    <n v="2"/>
    <x v="2"/>
    <n v="120"/>
    <x v="1"/>
    <n v="281"/>
    <x v="0"/>
    <x v="0"/>
    <x v="0"/>
    <n v="2"/>
    <x v="0"/>
    <n v="103"/>
    <n v="0"/>
    <x v="0"/>
    <n v="1.4"/>
    <n v="2"/>
    <n v="1"/>
    <n v="7"/>
    <x v="0"/>
    <x v="0"/>
  </r>
  <r>
    <n v="57"/>
    <x v="1"/>
    <n v="1"/>
    <x v="0"/>
    <n v="3"/>
    <x v="1"/>
    <n v="150"/>
    <x v="3"/>
    <n v="126"/>
    <x v="1"/>
    <x v="1"/>
    <x v="1"/>
    <n v="0"/>
    <x v="1"/>
    <n v="173"/>
    <n v="0"/>
    <x v="0"/>
    <n v="0.2"/>
    <n v="1"/>
    <n v="1"/>
    <n v="7"/>
    <x v="0"/>
    <x v="1"/>
  </r>
  <r>
    <n v="51"/>
    <x v="1"/>
    <n v="0"/>
    <x v="1"/>
    <n v="4"/>
    <x v="0"/>
    <n v="130"/>
    <x v="0"/>
    <n v="305"/>
    <x v="0"/>
    <x v="0"/>
    <x v="0"/>
    <n v="0"/>
    <x v="1"/>
    <n v="142"/>
    <n v="1"/>
    <x v="1"/>
    <n v="1.2"/>
    <n v="2"/>
    <n v="0"/>
    <n v="7"/>
    <x v="0"/>
    <x v="0"/>
  </r>
  <r>
    <n v="44"/>
    <x v="3"/>
    <n v="1"/>
    <x v="0"/>
    <n v="3"/>
    <x v="1"/>
    <n v="120"/>
    <x v="1"/>
    <n v="226"/>
    <x v="1"/>
    <x v="0"/>
    <x v="0"/>
    <n v="0"/>
    <x v="1"/>
    <n v="169"/>
    <n v="0"/>
    <x v="0"/>
    <n v="0"/>
    <n v="1"/>
    <n v="0"/>
    <n v="3"/>
    <x v="1"/>
    <x v="1"/>
  </r>
  <r>
    <n v="60"/>
    <x v="1"/>
    <n v="0"/>
    <x v="1"/>
    <n v="1"/>
    <x v="3"/>
    <n v="150"/>
    <x v="3"/>
    <n v="240"/>
    <x v="0"/>
    <x v="0"/>
    <x v="0"/>
    <n v="0"/>
    <x v="1"/>
    <n v="171"/>
    <n v="0"/>
    <x v="0"/>
    <n v="0.9"/>
    <n v="1"/>
    <n v="0"/>
    <n v="3"/>
    <x v="0"/>
    <x v="1"/>
  </r>
  <r>
    <n v="63"/>
    <x v="0"/>
    <n v="1"/>
    <x v="0"/>
    <n v="1"/>
    <x v="3"/>
    <n v="145"/>
    <x v="3"/>
    <n v="233"/>
    <x v="1"/>
    <x v="1"/>
    <x v="1"/>
    <n v="2"/>
    <x v="0"/>
    <n v="150"/>
    <n v="0"/>
    <x v="0"/>
    <n v="2.2999999999999998"/>
    <n v="3"/>
    <n v="0"/>
    <n v="6"/>
    <x v="0"/>
    <x v="1"/>
  </r>
  <r>
    <n v="57"/>
    <x v="1"/>
    <n v="1"/>
    <x v="0"/>
    <n v="4"/>
    <x v="0"/>
    <n v="150"/>
    <x v="3"/>
    <n v="276"/>
    <x v="0"/>
    <x v="0"/>
    <x v="0"/>
    <n v="2"/>
    <x v="0"/>
    <n v="112"/>
    <n v="1"/>
    <x v="1"/>
    <n v="0.6"/>
    <n v="2"/>
    <n v="1"/>
    <n v="6"/>
    <x v="0"/>
    <x v="0"/>
  </r>
  <r>
    <n v="51"/>
    <x v="1"/>
    <n v="1"/>
    <x v="0"/>
    <n v="4"/>
    <x v="0"/>
    <n v="140"/>
    <x v="2"/>
    <n v="261"/>
    <x v="0"/>
    <x v="0"/>
    <x v="0"/>
    <n v="2"/>
    <x v="0"/>
    <n v="186"/>
    <n v="1"/>
    <x v="1"/>
    <n v="0"/>
    <n v="1"/>
    <n v="0"/>
    <n v="3"/>
    <x v="0"/>
    <x v="1"/>
  </r>
  <r>
    <n v="58"/>
    <x v="1"/>
    <n v="0"/>
    <x v="1"/>
    <n v="2"/>
    <x v="2"/>
    <n v="136"/>
    <x v="2"/>
    <n v="319"/>
    <x v="0"/>
    <x v="1"/>
    <x v="1"/>
    <n v="2"/>
    <x v="0"/>
    <n v="152"/>
    <n v="0"/>
    <x v="0"/>
    <n v="0"/>
    <n v="1"/>
    <n v="2"/>
    <n v="3"/>
    <x v="0"/>
    <x v="0"/>
  </r>
  <r>
    <n v="44"/>
    <x v="3"/>
    <n v="0"/>
    <x v="1"/>
    <n v="3"/>
    <x v="1"/>
    <n v="118"/>
    <x v="1"/>
    <n v="242"/>
    <x v="0"/>
    <x v="0"/>
    <x v="0"/>
    <n v="0"/>
    <x v="1"/>
    <n v="149"/>
    <n v="0"/>
    <x v="0"/>
    <n v="0.3"/>
    <n v="2"/>
    <n v="1"/>
    <n v="3"/>
    <x v="0"/>
    <x v="1"/>
  </r>
  <r>
    <n v="47"/>
    <x v="3"/>
    <n v="1"/>
    <x v="0"/>
    <n v="3"/>
    <x v="1"/>
    <n v="108"/>
    <x v="1"/>
    <n v="243"/>
    <x v="0"/>
    <x v="0"/>
    <x v="0"/>
    <n v="0"/>
    <x v="1"/>
    <n v="152"/>
    <n v="0"/>
    <x v="0"/>
    <n v="0"/>
    <n v="1"/>
    <n v="0"/>
    <n v="3"/>
    <x v="0"/>
    <x v="0"/>
  </r>
  <r>
    <n v="61"/>
    <x v="0"/>
    <n v="1"/>
    <x v="0"/>
    <n v="4"/>
    <x v="0"/>
    <n v="120"/>
    <x v="1"/>
    <n v="260"/>
    <x v="0"/>
    <x v="0"/>
    <x v="0"/>
    <n v="0"/>
    <x v="1"/>
    <n v="140"/>
    <n v="1"/>
    <x v="1"/>
    <n v="3.6"/>
    <n v="2"/>
    <n v="1"/>
    <n v="7"/>
    <x v="0"/>
    <x v="0"/>
  </r>
  <r>
    <n v="57"/>
    <x v="1"/>
    <n v="0"/>
    <x v="1"/>
    <n v="4"/>
    <x v="0"/>
    <n v="120"/>
    <x v="1"/>
    <n v="354"/>
    <x v="0"/>
    <x v="0"/>
    <x v="0"/>
    <n v="0"/>
    <x v="1"/>
    <n v="163"/>
    <n v="1"/>
    <x v="1"/>
    <n v="0.6"/>
    <n v="1"/>
    <n v="0"/>
    <n v="3"/>
    <x v="0"/>
    <x v="1"/>
  </r>
  <r>
    <n v="70"/>
    <x v="0"/>
    <n v="1"/>
    <x v="0"/>
    <n v="2"/>
    <x v="2"/>
    <n v="156"/>
    <x v="3"/>
    <n v="245"/>
    <x v="0"/>
    <x v="0"/>
    <x v="0"/>
    <n v="2"/>
    <x v="0"/>
    <n v="143"/>
    <n v="0"/>
    <x v="0"/>
    <n v="0"/>
    <n v="1"/>
    <n v="0"/>
    <n v="3"/>
    <x v="0"/>
    <x v="1"/>
  </r>
  <r>
    <n v="76"/>
    <x v="2"/>
    <n v="0"/>
    <x v="1"/>
    <n v="3"/>
    <x v="1"/>
    <n v="140"/>
    <x v="2"/>
    <n v="197"/>
    <x v="1"/>
    <x v="0"/>
    <x v="0"/>
    <n v="1"/>
    <x v="0"/>
    <n v="116"/>
    <n v="0"/>
    <x v="0"/>
    <n v="1.1000000000000001"/>
    <n v="2"/>
    <n v="0"/>
    <n v="3"/>
    <x v="0"/>
    <x v="1"/>
  </r>
  <r>
    <n v="67"/>
    <x v="0"/>
    <n v="0"/>
    <x v="1"/>
    <n v="4"/>
    <x v="0"/>
    <n v="106"/>
    <x v="1"/>
    <n v="223"/>
    <x v="1"/>
    <x v="0"/>
    <x v="0"/>
    <n v="0"/>
    <x v="1"/>
    <n v="142"/>
    <n v="0"/>
    <x v="0"/>
    <n v="0.3"/>
    <n v="1"/>
    <n v="2"/>
    <n v="3"/>
    <x v="0"/>
    <x v="1"/>
  </r>
  <r>
    <n v="45"/>
    <x v="3"/>
    <n v="1"/>
    <x v="0"/>
    <n v="4"/>
    <x v="0"/>
    <n v="142"/>
    <x v="3"/>
    <n v="309"/>
    <x v="0"/>
    <x v="0"/>
    <x v="0"/>
    <n v="2"/>
    <x v="0"/>
    <n v="147"/>
    <n v="1"/>
    <x v="1"/>
    <n v="0"/>
    <n v="2"/>
    <n v="3"/>
    <n v="7"/>
    <x v="0"/>
    <x v="0"/>
  </r>
  <r>
    <n v="45"/>
    <x v="3"/>
    <n v="1"/>
    <x v="0"/>
    <n v="4"/>
    <x v="0"/>
    <n v="104"/>
    <x v="1"/>
    <n v="208"/>
    <x v="1"/>
    <x v="0"/>
    <x v="0"/>
    <n v="2"/>
    <x v="0"/>
    <n v="148"/>
    <n v="1"/>
    <x v="1"/>
    <n v="3"/>
    <n v="2"/>
    <n v="0"/>
    <n v="3"/>
    <x v="0"/>
    <x v="1"/>
  </r>
  <r>
    <n v="39"/>
    <x v="4"/>
    <n v="0"/>
    <x v="1"/>
    <n v="3"/>
    <x v="1"/>
    <n v="94"/>
    <x v="1"/>
    <n v="199"/>
    <x v="1"/>
    <x v="0"/>
    <x v="0"/>
    <n v="0"/>
    <x v="1"/>
    <n v="179"/>
    <n v="0"/>
    <x v="0"/>
    <n v="0"/>
    <n v="1"/>
    <n v="0"/>
    <n v="3"/>
    <x v="1"/>
    <x v="1"/>
  </r>
  <r>
    <n v="42"/>
    <x v="3"/>
    <n v="0"/>
    <x v="1"/>
    <n v="3"/>
    <x v="1"/>
    <n v="120"/>
    <x v="1"/>
    <n v="209"/>
    <x v="1"/>
    <x v="0"/>
    <x v="0"/>
    <n v="0"/>
    <x v="1"/>
    <n v="173"/>
    <n v="0"/>
    <x v="0"/>
    <n v="0"/>
    <n v="2"/>
    <n v="0"/>
    <n v="3"/>
    <x v="0"/>
    <x v="1"/>
  </r>
  <r>
    <n v="56"/>
    <x v="1"/>
    <n v="1"/>
    <x v="0"/>
    <n v="2"/>
    <x v="2"/>
    <n v="120"/>
    <x v="1"/>
    <n v="236"/>
    <x v="1"/>
    <x v="0"/>
    <x v="0"/>
    <n v="0"/>
    <x v="1"/>
    <n v="178"/>
    <n v="0"/>
    <x v="0"/>
    <n v="0.8"/>
    <n v="1"/>
    <n v="0"/>
    <n v="3"/>
    <x v="0"/>
    <x v="1"/>
  </r>
  <r>
    <n v="58"/>
    <x v="1"/>
    <n v="1"/>
    <x v="0"/>
    <n v="4"/>
    <x v="0"/>
    <n v="146"/>
    <x v="3"/>
    <n v="218"/>
    <x v="1"/>
    <x v="0"/>
    <x v="0"/>
    <n v="0"/>
    <x v="1"/>
    <n v="105"/>
    <n v="0"/>
    <x v="0"/>
    <n v="2"/>
    <n v="2"/>
    <n v="1"/>
    <n v="7"/>
    <x v="0"/>
    <x v="0"/>
  </r>
  <r>
    <n v="35"/>
    <x v="4"/>
    <n v="1"/>
    <x v="0"/>
    <n v="4"/>
    <x v="0"/>
    <n v="120"/>
    <x v="1"/>
    <n v="198"/>
    <x v="1"/>
    <x v="0"/>
    <x v="0"/>
    <n v="0"/>
    <x v="1"/>
    <n v="130"/>
    <n v="1"/>
    <x v="1"/>
    <n v="1.6"/>
    <n v="2"/>
    <n v="0"/>
    <n v="7"/>
    <x v="0"/>
    <x v="0"/>
  </r>
  <r>
    <n v="58"/>
    <x v="1"/>
    <n v="1"/>
    <x v="0"/>
    <n v="4"/>
    <x v="0"/>
    <n v="150"/>
    <x v="3"/>
    <n v="270"/>
    <x v="0"/>
    <x v="0"/>
    <x v="0"/>
    <n v="2"/>
    <x v="0"/>
    <n v="111"/>
    <n v="1"/>
    <x v="1"/>
    <n v="0.8"/>
    <n v="1"/>
    <n v="0"/>
    <n v="7"/>
    <x v="0"/>
    <x v="0"/>
  </r>
  <r>
    <n v="41"/>
    <x v="3"/>
    <n v="1"/>
    <x v="0"/>
    <n v="3"/>
    <x v="1"/>
    <n v="130"/>
    <x v="0"/>
    <n v="214"/>
    <x v="1"/>
    <x v="0"/>
    <x v="0"/>
    <n v="2"/>
    <x v="0"/>
    <n v="168"/>
    <n v="0"/>
    <x v="0"/>
    <n v="2"/>
    <n v="2"/>
    <n v="0"/>
    <n v="3"/>
    <x v="0"/>
    <x v="1"/>
  </r>
  <r>
    <n v="57"/>
    <x v="1"/>
    <n v="1"/>
    <x v="0"/>
    <n v="4"/>
    <x v="0"/>
    <n v="110"/>
    <x v="1"/>
    <n v="201"/>
    <x v="1"/>
    <x v="0"/>
    <x v="0"/>
    <n v="0"/>
    <x v="1"/>
    <n v="126"/>
    <n v="1"/>
    <x v="1"/>
    <n v="1.5"/>
    <n v="2"/>
    <n v="0"/>
    <n v="6"/>
    <x v="0"/>
    <x v="1"/>
  </r>
  <r>
    <n v="42"/>
    <x v="3"/>
    <n v="1"/>
    <x v="0"/>
    <n v="1"/>
    <x v="3"/>
    <n v="148"/>
    <x v="3"/>
    <n v="244"/>
    <x v="0"/>
    <x v="0"/>
    <x v="0"/>
    <n v="2"/>
    <x v="0"/>
    <n v="178"/>
    <n v="0"/>
    <x v="0"/>
    <n v="0.8"/>
    <n v="1"/>
    <n v="2"/>
    <n v="3"/>
    <x v="0"/>
    <x v="1"/>
  </r>
  <r>
    <n v="62"/>
    <x v="0"/>
    <n v="1"/>
    <x v="0"/>
    <n v="2"/>
    <x v="2"/>
    <n v="128"/>
    <x v="0"/>
    <n v="208"/>
    <x v="1"/>
    <x v="1"/>
    <x v="1"/>
    <n v="2"/>
    <x v="0"/>
    <n v="140"/>
    <n v="0"/>
    <x v="0"/>
    <n v="0"/>
    <n v="1"/>
    <n v="0"/>
    <n v="3"/>
    <x v="0"/>
    <x v="1"/>
  </r>
  <r>
    <n v="59"/>
    <x v="1"/>
    <n v="1"/>
    <x v="0"/>
    <n v="1"/>
    <x v="3"/>
    <n v="178"/>
    <x v="3"/>
    <n v="270"/>
    <x v="0"/>
    <x v="0"/>
    <x v="0"/>
    <n v="2"/>
    <x v="0"/>
    <n v="145"/>
    <n v="0"/>
    <x v="0"/>
    <n v="4.2"/>
    <n v="3"/>
    <n v="0"/>
    <n v="7"/>
    <x v="0"/>
    <x v="1"/>
  </r>
  <r>
    <n v="41"/>
    <x v="3"/>
    <n v="0"/>
    <x v="1"/>
    <n v="2"/>
    <x v="2"/>
    <n v="126"/>
    <x v="0"/>
    <n v="306"/>
    <x v="0"/>
    <x v="0"/>
    <x v="0"/>
    <n v="0"/>
    <x v="1"/>
    <n v="163"/>
    <n v="0"/>
    <x v="0"/>
    <n v="0"/>
    <n v="1"/>
    <n v="0"/>
    <n v="3"/>
    <x v="0"/>
    <x v="1"/>
  </r>
  <r>
    <n v="50"/>
    <x v="3"/>
    <n v="1"/>
    <x v="0"/>
    <n v="4"/>
    <x v="0"/>
    <n v="150"/>
    <x v="3"/>
    <n v="243"/>
    <x v="0"/>
    <x v="0"/>
    <x v="0"/>
    <n v="2"/>
    <x v="0"/>
    <n v="128"/>
    <n v="0"/>
    <x v="0"/>
    <n v="2.6"/>
    <n v="2"/>
    <n v="0"/>
    <n v="7"/>
    <x v="0"/>
    <x v="0"/>
  </r>
  <r>
    <n v="59"/>
    <x v="1"/>
    <n v="1"/>
    <x v="0"/>
    <n v="2"/>
    <x v="2"/>
    <n v="140"/>
    <x v="2"/>
    <n v="221"/>
    <x v="1"/>
    <x v="0"/>
    <x v="0"/>
    <n v="0"/>
    <x v="1"/>
    <n v="164"/>
    <n v="1"/>
    <x v="1"/>
    <n v="0"/>
    <n v="1"/>
    <n v="0"/>
    <n v="3"/>
    <x v="0"/>
    <x v="1"/>
  </r>
  <r>
    <n v="61"/>
    <x v="0"/>
    <n v="0"/>
    <x v="1"/>
    <n v="4"/>
    <x v="0"/>
    <n v="130"/>
    <x v="0"/>
    <n v="330"/>
    <x v="0"/>
    <x v="0"/>
    <x v="0"/>
    <n v="2"/>
    <x v="0"/>
    <n v="169"/>
    <n v="0"/>
    <x v="0"/>
    <n v="0"/>
    <n v="1"/>
    <n v="0"/>
    <n v="3"/>
    <x v="0"/>
    <x v="0"/>
  </r>
  <r>
    <n v="54"/>
    <x v="1"/>
    <n v="1"/>
    <x v="0"/>
    <n v="4"/>
    <x v="0"/>
    <n v="124"/>
    <x v="0"/>
    <n v="266"/>
    <x v="0"/>
    <x v="0"/>
    <x v="0"/>
    <n v="2"/>
    <x v="0"/>
    <n v="109"/>
    <n v="1"/>
    <x v="1"/>
    <n v="2.2000000000000002"/>
    <n v="2"/>
    <n v="1"/>
    <n v="7"/>
    <x v="0"/>
    <x v="0"/>
  </r>
  <r>
    <n v="54"/>
    <x v="1"/>
    <n v="1"/>
    <x v="0"/>
    <n v="4"/>
    <x v="0"/>
    <n v="110"/>
    <x v="1"/>
    <n v="206"/>
    <x v="1"/>
    <x v="0"/>
    <x v="0"/>
    <n v="2"/>
    <x v="0"/>
    <n v="108"/>
    <n v="1"/>
    <x v="1"/>
    <n v="0"/>
    <n v="2"/>
    <n v="1"/>
    <n v="3"/>
    <x v="0"/>
    <x v="0"/>
  </r>
  <r>
    <n v="52"/>
    <x v="1"/>
    <n v="1"/>
    <x v="0"/>
    <n v="4"/>
    <x v="0"/>
    <n v="125"/>
    <x v="0"/>
    <n v="212"/>
    <x v="1"/>
    <x v="0"/>
    <x v="0"/>
    <n v="0"/>
    <x v="1"/>
    <n v="168"/>
    <n v="0"/>
    <x v="0"/>
    <n v="1"/>
    <n v="1"/>
    <n v="2"/>
    <n v="7"/>
    <x v="0"/>
    <x v="0"/>
  </r>
  <r>
    <n v="47"/>
    <x v="3"/>
    <n v="1"/>
    <x v="0"/>
    <n v="4"/>
    <x v="0"/>
    <n v="110"/>
    <x v="1"/>
    <n v="275"/>
    <x v="0"/>
    <x v="0"/>
    <x v="0"/>
    <n v="2"/>
    <x v="0"/>
    <n v="118"/>
    <n v="1"/>
    <x v="1"/>
    <n v="1"/>
    <n v="2"/>
    <n v="1"/>
    <n v="3"/>
    <x v="0"/>
    <x v="0"/>
  </r>
  <r>
    <n v="66"/>
    <x v="0"/>
    <n v="1"/>
    <x v="0"/>
    <n v="4"/>
    <x v="0"/>
    <n v="120"/>
    <x v="1"/>
    <n v="302"/>
    <x v="0"/>
    <x v="0"/>
    <x v="0"/>
    <n v="2"/>
    <x v="0"/>
    <n v="151"/>
    <n v="0"/>
    <x v="0"/>
    <n v="0.4"/>
    <n v="2"/>
    <n v="0"/>
    <n v="3"/>
    <x v="0"/>
    <x v="1"/>
  </r>
  <r>
    <n v="58"/>
    <x v="1"/>
    <n v="1"/>
    <x v="0"/>
    <n v="4"/>
    <x v="0"/>
    <n v="100"/>
    <x v="1"/>
    <n v="234"/>
    <x v="1"/>
    <x v="0"/>
    <x v="0"/>
    <n v="0"/>
    <x v="1"/>
    <n v="156"/>
    <n v="0"/>
    <x v="0"/>
    <n v="0.1"/>
    <n v="1"/>
    <n v="1"/>
    <n v="7"/>
    <x v="0"/>
    <x v="0"/>
  </r>
  <r>
    <n v="64"/>
    <x v="0"/>
    <n v="0"/>
    <x v="1"/>
    <n v="3"/>
    <x v="1"/>
    <n v="140"/>
    <x v="2"/>
    <n v="313"/>
    <x v="0"/>
    <x v="0"/>
    <x v="0"/>
    <n v="0"/>
    <x v="1"/>
    <n v="133"/>
    <n v="0"/>
    <x v="0"/>
    <n v="0.2"/>
    <n v="1"/>
    <n v="0"/>
    <n v="7"/>
    <x v="0"/>
    <x v="1"/>
  </r>
  <r>
    <n v="50"/>
    <x v="3"/>
    <n v="0"/>
    <x v="1"/>
    <n v="2"/>
    <x v="2"/>
    <n v="120"/>
    <x v="1"/>
    <n v="244"/>
    <x v="0"/>
    <x v="0"/>
    <x v="0"/>
    <n v="0"/>
    <x v="1"/>
    <n v="162"/>
    <n v="0"/>
    <x v="0"/>
    <n v="1.1000000000000001"/>
    <n v="1"/>
    <n v="0"/>
    <n v="3"/>
    <x v="0"/>
    <x v="1"/>
  </r>
  <r>
    <n v="44"/>
    <x v="3"/>
    <n v="0"/>
    <x v="1"/>
    <n v="3"/>
    <x v="1"/>
    <n v="108"/>
    <x v="1"/>
    <n v="141"/>
    <x v="1"/>
    <x v="0"/>
    <x v="0"/>
    <n v="0"/>
    <x v="1"/>
    <n v="175"/>
    <n v="0"/>
    <x v="0"/>
    <n v="0.6"/>
    <n v="2"/>
    <n v="0"/>
    <n v="3"/>
    <x v="0"/>
    <x v="1"/>
  </r>
  <r>
    <n v="67"/>
    <x v="0"/>
    <n v="1"/>
    <x v="0"/>
    <n v="4"/>
    <x v="0"/>
    <n v="120"/>
    <x v="1"/>
    <n v="237"/>
    <x v="1"/>
    <x v="0"/>
    <x v="0"/>
    <n v="0"/>
    <x v="1"/>
    <n v="71"/>
    <n v="0"/>
    <x v="0"/>
    <n v="1"/>
    <n v="2"/>
    <n v="0"/>
    <n v="3"/>
    <x v="0"/>
    <x v="0"/>
  </r>
  <r>
    <n v="49"/>
    <x v="3"/>
    <n v="0"/>
    <x v="1"/>
    <n v="4"/>
    <x v="0"/>
    <n v="130"/>
    <x v="0"/>
    <n v="269"/>
    <x v="0"/>
    <x v="0"/>
    <x v="0"/>
    <n v="0"/>
    <x v="1"/>
    <n v="163"/>
    <n v="0"/>
    <x v="0"/>
    <n v="0"/>
    <n v="1"/>
    <n v="0"/>
    <n v="3"/>
    <x v="0"/>
    <x v="1"/>
  </r>
  <r>
    <n v="57"/>
    <x v="1"/>
    <n v="1"/>
    <x v="0"/>
    <n v="4"/>
    <x v="0"/>
    <n v="165"/>
    <x v="3"/>
    <n v="289"/>
    <x v="0"/>
    <x v="1"/>
    <x v="1"/>
    <n v="2"/>
    <x v="0"/>
    <n v="124"/>
    <n v="0"/>
    <x v="0"/>
    <n v="1"/>
    <n v="2"/>
    <n v="3"/>
    <n v="7"/>
    <x v="0"/>
    <x v="0"/>
  </r>
  <r>
    <n v="63"/>
    <x v="0"/>
    <n v="1"/>
    <x v="0"/>
    <n v="4"/>
    <x v="0"/>
    <n v="130"/>
    <x v="0"/>
    <n v="254"/>
    <x v="0"/>
    <x v="0"/>
    <x v="0"/>
    <n v="2"/>
    <x v="0"/>
    <n v="147"/>
    <n v="0"/>
    <x v="0"/>
    <n v="1.4"/>
    <n v="2"/>
    <n v="1"/>
    <n v="7"/>
    <x v="0"/>
    <x v="0"/>
  </r>
  <r>
    <n v="48"/>
    <x v="3"/>
    <n v="1"/>
    <x v="0"/>
    <n v="4"/>
    <x v="0"/>
    <n v="124"/>
    <x v="0"/>
    <n v="274"/>
    <x v="0"/>
    <x v="0"/>
    <x v="0"/>
    <n v="2"/>
    <x v="0"/>
    <n v="166"/>
    <n v="0"/>
    <x v="0"/>
    <n v="0.5"/>
    <n v="2"/>
    <n v="0"/>
    <n v="7"/>
    <x v="0"/>
    <x v="0"/>
  </r>
  <r>
    <n v="51"/>
    <x v="1"/>
    <n v="1"/>
    <x v="0"/>
    <n v="3"/>
    <x v="1"/>
    <n v="100"/>
    <x v="1"/>
    <n v="222"/>
    <x v="1"/>
    <x v="0"/>
    <x v="0"/>
    <n v="0"/>
    <x v="1"/>
    <n v="143"/>
    <n v="1"/>
    <x v="1"/>
    <n v="1.2"/>
    <n v="2"/>
    <n v="0"/>
    <n v="3"/>
    <x v="0"/>
    <x v="1"/>
  </r>
  <r>
    <n v="60"/>
    <x v="1"/>
    <n v="0"/>
    <x v="1"/>
    <n v="4"/>
    <x v="0"/>
    <n v="150"/>
    <x v="3"/>
    <n v="258"/>
    <x v="0"/>
    <x v="0"/>
    <x v="0"/>
    <n v="2"/>
    <x v="0"/>
    <n v="157"/>
    <n v="0"/>
    <x v="0"/>
    <n v="2.6"/>
    <n v="2"/>
    <n v="2"/>
    <n v="7"/>
    <x v="0"/>
    <x v="0"/>
  </r>
  <r>
    <n v="59"/>
    <x v="1"/>
    <n v="1"/>
    <x v="0"/>
    <n v="4"/>
    <x v="0"/>
    <n v="140"/>
    <x v="2"/>
    <n v="177"/>
    <x v="1"/>
    <x v="0"/>
    <x v="0"/>
    <n v="0"/>
    <x v="1"/>
    <n v="162"/>
    <n v="1"/>
    <x v="1"/>
    <n v="0"/>
    <n v="1"/>
    <n v="1"/>
    <n v="7"/>
    <x v="0"/>
    <x v="0"/>
  </r>
  <r>
    <n v="45"/>
    <x v="3"/>
    <n v="0"/>
    <x v="1"/>
    <n v="2"/>
    <x v="2"/>
    <n v="112"/>
    <x v="1"/>
    <n v="160"/>
    <x v="1"/>
    <x v="0"/>
    <x v="0"/>
    <n v="0"/>
    <x v="1"/>
    <n v="138"/>
    <n v="0"/>
    <x v="0"/>
    <n v="0"/>
    <n v="2"/>
    <n v="0"/>
    <n v="3"/>
    <x v="0"/>
    <x v="1"/>
  </r>
  <r>
    <n v="55"/>
    <x v="1"/>
    <n v="0"/>
    <x v="1"/>
    <n v="4"/>
    <x v="0"/>
    <n v="180"/>
    <x v="3"/>
    <n v="327"/>
    <x v="0"/>
    <x v="0"/>
    <x v="0"/>
    <n v="1"/>
    <x v="0"/>
    <n v="117"/>
    <n v="1"/>
    <x v="1"/>
    <n v="3.4"/>
    <n v="2"/>
    <n v="0"/>
    <n v="3"/>
    <x v="0"/>
    <x v="0"/>
  </r>
  <r>
    <n v="41"/>
    <x v="3"/>
    <n v="1"/>
    <x v="0"/>
    <n v="2"/>
    <x v="2"/>
    <n v="110"/>
    <x v="1"/>
    <n v="235"/>
    <x v="1"/>
    <x v="0"/>
    <x v="0"/>
    <n v="0"/>
    <x v="1"/>
    <n v="153"/>
    <n v="0"/>
    <x v="0"/>
    <n v="0"/>
    <n v="1"/>
    <n v="0"/>
    <n v="3"/>
    <x v="0"/>
    <x v="1"/>
  </r>
  <r>
    <n v="60"/>
    <x v="1"/>
    <n v="0"/>
    <x v="1"/>
    <n v="4"/>
    <x v="0"/>
    <n v="158"/>
    <x v="3"/>
    <n v="305"/>
    <x v="0"/>
    <x v="0"/>
    <x v="0"/>
    <n v="2"/>
    <x v="0"/>
    <n v="161"/>
    <n v="0"/>
    <x v="0"/>
    <n v="0"/>
    <n v="1"/>
    <n v="0"/>
    <n v="3"/>
    <x v="0"/>
    <x v="0"/>
  </r>
  <r>
    <n v="54"/>
    <x v="1"/>
    <n v="0"/>
    <x v="1"/>
    <n v="3"/>
    <x v="1"/>
    <n v="135"/>
    <x v="2"/>
    <n v="304"/>
    <x v="0"/>
    <x v="1"/>
    <x v="1"/>
    <n v="0"/>
    <x v="1"/>
    <n v="170"/>
    <n v="0"/>
    <x v="0"/>
    <n v="0"/>
    <n v="1"/>
    <n v="0"/>
    <n v="3"/>
    <x v="0"/>
    <x v="1"/>
  </r>
  <r>
    <n v="42"/>
    <x v="3"/>
    <n v="1"/>
    <x v="0"/>
    <n v="2"/>
    <x v="2"/>
    <n v="120"/>
    <x v="1"/>
    <n v="295"/>
    <x v="0"/>
    <x v="0"/>
    <x v="0"/>
    <n v="0"/>
    <x v="1"/>
    <n v="162"/>
    <n v="0"/>
    <x v="0"/>
    <n v="0"/>
    <n v="1"/>
    <n v="0"/>
    <n v="3"/>
    <x v="0"/>
    <x v="1"/>
  </r>
  <r>
    <n v="49"/>
    <x v="3"/>
    <n v="0"/>
    <x v="1"/>
    <n v="2"/>
    <x v="2"/>
    <n v="134"/>
    <x v="2"/>
    <n v="271"/>
    <x v="0"/>
    <x v="0"/>
    <x v="0"/>
    <n v="0"/>
    <x v="1"/>
    <n v="162"/>
    <n v="0"/>
    <x v="0"/>
    <n v="0"/>
    <n v="2"/>
    <n v="0"/>
    <n v="3"/>
    <x v="0"/>
    <x v="1"/>
  </r>
  <r>
    <n v="46"/>
    <x v="3"/>
    <n v="1"/>
    <x v="0"/>
    <n v="4"/>
    <x v="0"/>
    <n v="120"/>
    <x v="1"/>
    <n v="249"/>
    <x v="0"/>
    <x v="0"/>
    <x v="0"/>
    <n v="2"/>
    <x v="0"/>
    <n v="144"/>
    <n v="0"/>
    <x v="0"/>
    <n v="0.8"/>
    <n v="1"/>
    <n v="0"/>
    <n v="7"/>
    <x v="0"/>
    <x v="0"/>
  </r>
  <r>
    <n v="56"/>
    <x v="1"/>
    <n v="0"/>
    <x v="1"/>
    <n v="4"/>
    <x v="0"/>
    <n v="200"/>
    <x v="3"/>
    <n v="288"/>
    <x v="0"/>
    <x v="1"/>
    <x v="1"/>
    <n v="2"/>
    <x v="0"/>
    <n v="133"/>
    <n v="1"/>
    <x v="1"/>
    <n v="4"/>
    <n v="3"/>
    <n v="2"/>
    <n v="7"/>
    <x v="0"/>
    <x v="0"/>
  </r>
  <r>
    <n v="66"/>
    <x v="0"/>
    <n v="0"/>
    <x v="1"/>
    <n v="1"/>
    <x v="3"/>
    <n v="150"/>
    <x v="3"/>
    <n v="226"/>
    <x v="1"/>
    <x v="0"/>
    <x v="0"/>
    <n v="0"/>
    <x v="1"/>
    <n v="114"/>
    <n v="0"/>
    <x v="0"/>
    <n v="2.6"/>
    <n v="3"/>
    <n v="0"/>
    <n v="3"/>
    <x v="0"/>
    <x v="1"/>
  </r>
  <r>
    <n v="56"/>
    <x v="1"/>
    <n v="1"/>
    <x v="0"/>
    <n v="4"/>
    <x v="0"/>
    <n v="130"/>
    <x v="0"/>
    <n v="283"/>
    <x v="0"/>
    <x v="1"/>
    <x v="1"/>
    <n v="2"/>
    <x v="0"/>
    <n v="103"/>
    <n v="1"/>
    <x v="1"/>
    <n v="1.6"/>
    <n v="3"/>
    <n v="0"/>
    <n v="7"/>
    <x v="0"/>
    <x v="0"/>
  </r>
  <r>
    <n v="49"/>
    <x v="3"/>
    <n v="1"/>
    <x v="0"/>
    <n v="3"/>
    <x v="1"/>
    <n v="120"/>
    <x v="1"/>
    <n v="188"/>
    <x v="1"/>
    <x v="0"/>
    <x v="0"/>
    <n v="0"/>
    <x v="1"/>
    <n v="139"/>
    <n v="0"/>
    <x v="0"/>
    <n v="2"/>
    <n v="2"/>
    <n v="3"/>
    <n v="7"/>
    <x v="0"/>
    <x v="0"/>
  </r>
  <r>
    <n v="54"/>
    <x v="1"/>
    <n v="1"/>
    <x v="0"/>
    <n v="4"/>
    <x v="0"/>
    <n v="122"/>
    <x v="0"/>
    <n v="286"/>
    <x v="0"/>
    <x v="0"/>
    <x v="0"/>
    <n v="2"/>
    <x v="0"/>
    <n v="116"/>
    <n v="1"/>
    <x v="1"/>
    <n v="3.2"/>
    <n v="2"/>
    <n v="2"/>
    <n v="3"/>
    <x v="0"/>
    <x v="0"/>
  </r>
  <r>
    <n v="57"/>
    <x v="1"/>
    <n v="1"/>
    <x v="0"/>
    <n v="4"/>
    <x v="0"/>
    <n v="152"/>
    <x v="3"/>
    <n v="274"/>
    <x v="0"/>
    <x v="0"/>
    <x v="0"/>
    <n v="0"/>
    <x v="1"/>
    <n v="88"/>
    <n v="1"/>
    <x v="1"/>
    <n v="1.2"/>
    <n v="2"/>
    <n v="1"/>
    <n v="7"/>
    <x v="0"/>
    <x v="0"/>
  </r>
  <r>
    <n v="65"/>
    <x v="0"/>
    <n v="0"/>
    <x v="1"/>
    <n v="3"/>
    <x v="1"/>
    <n v="160"/>
    <x v="3"/>
    <n v="360"/>
    <x v="0"/>
    <x v="0"/>
    <x v="0"/>
    <n v="2"/>
    <x v="0"/>
    <n v="151"/>
    <n v="0"/>
    <x v="0"/>
    <n v="0.8"/>
    <n v="1"/>
    <n v="0"/>
    <n v="3"/>
    <x v="0"/>
    <x v="1"/>
  </r>
  <r>
    <n v="54"/>
    <x v="1"/>
    <n v="1"/>
    <x v="0"/>
    <n v="3"/>
    <x v="1"/>
    <n v="125"/>
    <x v="0"/>
    <n v="273"/>
    <x v="0"/>
    <x v="0"/>
    <x v="0"/>
    <n v="2"/>
    <x v="0"/>
    <n v="152"/>
    <n v="0"/>
    <x v="0"/>
    <n v="0.5"/>
    <n v="3"/>
    <n v="1"/>
    <n v="3"/>
    <x v="0"/>
    <x v="1"/>
  </r>
  <r>
    <n v="54"/>
    <x v="1"/>
    <n v="0"/>
    <x v="1"/>
    <n v="3"/>
    <x v="1"/>
    <n v="160"/>
    <x v="3"/>
    <n v="201"/>
    <x v="1"/>
    <x v="0"/>
    <x v="0"/>
    <n v="0"/>
    <x v="1"/>
    <n v="163"/>
    <n v="0"/>
    <x v="0"/>
    <n v="0"/>
    <n v="1"/>
    <n v="1"/>
    <n v="3"/>
    <x v="0"/>
    <x v="1"/>
  </r>
  <r>
    <n v="62"/>
    <x v="0"/>
    <n v="1"/>
    <x v="0"/>
    <n v="4"/>
    <x v="0"/>
    <n v="120"/>
    <x v="1"/>
    <n v="267"/>
    <x v="0"/>
    <x v="0"/>
    <x v="0"/>
    <n v="0"/>
    <x v="1"/>
    <n v="99"/>
    <n v="1"/>
    <x v="1"/>
    <n v="1.8"/>
    <n v="2"/>
    <n v="2"/>
    <n v="7"/>
    <x v="0"/>
    <x v="0"/>
  </r>
  <r>
    <n v="52"/>
    <x v="1"/>
    <n v="0"/>
    <x v="1"/>
    <n v="3"/>
    <x v="1"/>
    <n v="136"/>
    <x v="2"/>
    <n v="196"/>
    <x v="1"/>
    <x v="0"/>
    <x v="0"/>
    <n v="2"/>
    <x v="0"/>
    <n v="169"/>
    <n v="0"/>
    <x v="0"/>
    <n v="0.1"/>
    <n v="2"/>
    <n v="0"/>
    <n v="3"/>
    <x v="0"/>
    <x v="1"/>
  </r>
  <r>
    <n v="52"/>
    <x v="1"/>
    <n v="1"/>
    <x v="0"/>
    <n v="2"/>
    <x v="2"/>
    <n v="134"/>
    <x v="2"/>
    <n v="201"/>
    <x v="1"/>
    <x v="0"/>
    <x v="0"/>
    <n v="0"/>
    <x v="1"/>
    <n v="158"/>
    <n v="0"/>
    <x v="0"/>
    <n v="0.8"/>
    <n v="1"/>
    <n v="1"/>
    <n v="3"/>
    <x v="0"/>
    <x v="1"/>
  </r>
  <r>
    <n v="60"/>
    <x v="1"/>
    <n v="1"/>
    <x v="0"/>
    <n v="4"/>
    <x v="0"/>
    <n v="117"/>
    <x v="1"/>
    <n v="230"/>
    <x v="1"/>
    <x v="1"/>
    <x v="1"/>
    <n v="0"/>
    <x v="1"/>
    <n v="160"/>
    <n v="1"/>
    <x v="1"/>
    <n v="1.4"/>
    <n v="1"/>
    <n v="2"/>
    <n v="7"/>
    <x v="0"/>
    <x v="0"/>
  </r>
  <r>
    <n v="63"/>
    <x v="0"/>
    <n v="0"/>
    <x v="1"/>
    <n v="4"/>
    <x v="0"/>
    <n v="108"/>
    <x v="1"/>
    <n v="269"/>
    <x v="0"/>
    <x v="0"/>
    <x v="0"/>
    <n v="0"/>
    <x v="1"/>
    <n v="169"/>
    <n v="1"/>
    <x v="1"/>
    <n v="1.8"/>
    <n v="2"/>
    <n v="2"/>
    <n v="3"/>
    <x v="0"/>
    <x v="0"/>
  </r>
  <r>
    <n v="66"/>
    <x v="0"/>
    <n v="1"/>
    <x v="0"/>
    <n v="4"/>
    <x v="0"/>
    <n v="112"/>
    <x v="1"/>
    <n v="212"/>
    <x v="1"/>
    <x v="0"/>
    <x v="0"/>
    <n v="2"/>
    <x v="0"/>
    <n v="132"/>
    <n v="1"/>
    <x v="1"/>
    <n v="0.1"/>
    <n v="1"/>
    <n v="1"/>
    <n v="3"/>
    <x v="0"/>
    <x v="0"/>
  </r>
  <r>
    <n v="42"/>
    <x v="3"/>
    <n v="1"/>
    <x v="0"/>
    <n v="4"/>
    <x v="0"/>
    <n v="140"/>
    <x v="2"/>
    <n v="226"/>
    <x v="1"/>
    <x v="0"/>
    <x v="0"/>
    <n v="0"/>
    <x v="1"/>
    <n v="178"/>
    <n v="0"/>
    <x v="0"/>
    <n v="0"/>
    <n v="1"/>
    <n v="0"/>
    <n v="3"/>
    <x v="0"/>
    <x v="1"/>
  </r>
  <r>
    <n v="64"/>
    <x v="0"/>
    <n v="1"/>
    <x v="0"/>
    <n v="4"/>
    <x v="0"/>
    <n v="120"/>
    <x v="1"/>
    <n v="246"/>
    <x v="0"/>
    <x v="0"/>
    <x v="0"/>
    <n v="2"/>
    <x v="0"/>
    <n v="96"/>
    <n v="1"/>
    <x v="1"/>
    <n v="2.2000000000000002"/>
    <n v="3"/>
    <n v="1"/>
    <n v="3"/>
    <x v="0"/>
    <x v="0"/>
  </r>
  <r>
    <n v="54"/>
    <x v="1"/>
    <n v="1"/>
    <x v="0"/>
    <n v="3"/>
    <x v="1"/>
    <n v="150"/>
    <x v="3"/>
    <n v="232"/>
    <x v="1"/>
    <x v="0"/>
    <x v="0"/>
    <n v="2"/>
    <x v="0"/>
    <n v="165"/>
    <n v="0"/>
    <x v="0"/>
    <n v="1.6"/>
    <n v="1"/>
    <n v="0"/>
    <n v="7"/>
    <x v="0"/>
    <x v="1"/>
  </r>
  <r>
    <n v="46"/>
    <x v="3"/>
    <n v="0"/>
    <x v="1"/>
    <n v="3"/>
    <x v="1"/>
    <n v="142"/>
    <x v="3"/>
    <n v="177"/>
    <x v="1"/>
    <x v="0"/>
    <x v="0"/>
    <n v="2"/>
    <x v="0"/>
    <n v="160"/>
    <n v="1"/>
    <x v="1"/>
    <n v="1.4"/>
    <n v="3"/>
    <n v="0"/>
    <n v="3"/>
    <x v="0"/>
    <x v="1"/>
  </r>
  <r>
    <n v="67"/>
    <x v="0"/>
    <n v="0"/>
    <x v="1"/>
    <n v="3"/>
    <x v="1"/>
    <n v="152"/>
    <x v="3"/>
    <n v="277"/>
    <x v="0"/>
    <x v="0"/>
    <x v="0"/>
    <n v="0"/>
    <x v="1"/>
    <n v="172"/>
    <n v="0"/>
    <x v="0"/>
    <n v="0"/>
    <n v="1"/>
    <n v="1"/>
    <n v="3"/>
    <x v="0"/>
    <x v="1"/>
  </r>
  <r>
    <n v="56"/>
    <x v="1"/>
    <n v="1"/>
    <x v="0"/>
    <n v="4"/>
    <x v="0"/>
    <n v="125"/>
    <x v="0"/>
    <n v="249"/>
    <x v="0"/>
    <x v="1"/>
    <x v="1"/>
    <n v="2"/>
    <x v="0"/>
    <n v="144"/>
    <n v="1"/>
    <x v="1"/>
    <n v="1.2"/>
    <n v="2"/>
    <n v="1"/>
    <n v="3"/>
    <x v="0"/>
    <x v="0"/>
  </r>
  <r>
    <n v="34"/>
    <x v="4"/>
    <n v="0"/>
    <x v="1"/>
    <n v="2"/>
    <x v="2"/>
    <n v="118"/>
    <x v="1"/>
    <n v="210"/>
    <x v="1"/>
    <x v="0"/>
    <x v="0"/>
    <n v="0"/>
    <x v="1"/>
    <n v="192"/>
    <n v="0"/>
    <x v="0"/>
    <n v="0.7"/>
    <n v="1"/>
    <n v="0"/>
    <n v="3"/>
    <x v="0"/>
    <x v="1"/>
  </r>
  <r>
    <n v="57"/>
    <x v="1"/>
    <n v="1"/>
    <x v="0"/>
    <n v="4"/>
    <x v="0"/>
    <n v="132"/>
    <x v="2"/>
    <n v="207"/>
    <x v="1"/>
    <x v="0"/>
    <x v="0"/>
    <n v="0"/>
    <x v="1"/>
    <n v="168"/>
    <n v="1"/>
    <x v="1"/>
    <n v="0"/>
    <n v="1"/>
    <n v="0"/>
    <n v="7"/>
    <x v="0"/>
    <x v="1"/>
  </r>
  <r>
    <n v="64"/>
    <x v="0"/>
    <n v="1"/>
    <x v="0"/>
    <n v="4"/>
    <x v="0"/>
    <n v="145"/>
    <x v="3"/>
    <n v="212"/>
    <x v="1"/>
    <x v="0"/>
    <x v="0"/>
    <n v="2"/>
    <x v="0"/>
    <n v="132"/>
    <n v="0"/>
    <x v="0"/>
    <n v="2"/>
    <n v="2"/>
    <n v="2"/>
    <n v="6"/>
    <x v="0"/>
    <x v="0"/>
  </r>
  <r>
    <n v="59"/>
    <x v="1"/>
    <n v="1"/>
    <x v="0"/>
    <n v="4"/>
    <x v="0"/>
    <n v="138"/>
    <x v="2"/>
    <n v="271"/>
    <x v="0"/>
    <x v="0"/>
    <x v="0"/>
    <n v="2"/>
    <x v="0"/>
    <n v="182"/>
    <n v="0"/>
    <x v="0"/>
    <n v="0"/>
    <n v="1"/>
    <n v="0"/>
    <n v="3"/>
    <x v="0"/>
    <x v="1"/>
  </r>
  <r>
    <n v="50"/>
    <x v="3"/>
    <n v="1"/>
    <x v="0"/>
    <n v="3"/>
    <x v="1"/>
    <n v="140"/>
    <x v="2"/>
    <n v="233"/>
    <x v="1"/>
    <x v="0"/>
    <x v="0"/>
    <n v="0"/>
    <x v="1"/>
    <n v="163"/>
    <n v="0"/>
    <x v="0"/>
    <n v="0.6"/>
    <n v="2"/>
    <n v="1"/>
    <n v="7"/>
    <x v="0"/>
    <x v="0"/>
  </r>
  <r>
    <n v="51"/>
    <x v="1"/>
    <n v="1"/>
    <x v="0"/>
    <n v="1"/>
    <x v="3"/>
    <n v="125"/>
    <x v="0"/>
    <n v="213"/>
    <x v="1"/>
    <x v="0"/>
    <x v="0"/>
    <n v="2"/>
    <x v="0"/>
    <n v="125"/>
    <n v="1"/>
    <x v="1"/>
    <n v="1.4"/>
    <n v="1"/>
    <n v="1"/>
    <n v="3"/>
    <x v="0"/>
    <x v="1"/>
  </r>
  <r>
    <n v="54"/>
    <x v="1"/>
    <n v="1"/>
    <x v="0"/>
    <n v="2"/>
    <x v="2"/>
    <n v="192"/>
    <x v="3"/>
    <n v="283"/>
    <x v="0"/>
    <x v="0"/>
    <x v="0"/>
    <n v="2"/>
    <x v="0"/>
    <n v="195"/>
    <n v="0"/>
    <x v="0"/>
    <n v="0"/>
    <n v="1"/>
    <n v="1"/>
    <n v="7"/>
    <x v="0"/>
    <x v="0"/>
  </r>
  <r>
    <n v="53"/>
    <x v="1"/>
    <n v="1"/>
    <x v="0"/>
    <n v="4"/>
    <x v="0"/>
    <n v="123"/>
    <x v="0"/>
    <n v="282"/>
    <x v="0"/>
    <x v="0"/>
    <x v="0"/>
    <n v="0"/>
    <x v="1"/>
    <n v="95"/>
    <n v="1"/>
    <x v="1"/>
    <n v="2"/>
    <n v="2"/>
    <n v="2"/>
    <n v="7"/>
    <x v="0"/>
    <x v="0"/>
  </r>
  <r>
    <n v="52"/>
    <x v="1"/>
    <n v="1"/>
    <x v="0"/>
    <n v="4"/>
    <x v="0"/>
    <n v="112"/>
    <x v="1"/>
    <n v="230"/>
    <x v="1"/>
    <x v="0"/>
    <x v="0"/>
    <n v="0"/>
    <x v="1"/>
    <n v="160"/>
    <n v="0"/>
    <x v="0"/>
    <n v="0"/>
    <n v="1"/>
    <n v="1"/>
    <n v="3"/>
    <x v="0"/>
    <x v="0"/>
  </r>
  <r>
    <n v="40"/>
    <x v="4"/>
    <n v="1"/>
    <x v="0"/>
    <n v="4"/>
    <x v="0"/>
    <n v="110"/>
    <x v="1"/>
    <n v="167"/>
    <x v="1"/>
    <x v="0"/>
    <x v="0"/>
    <n v="2"/>
    <x v="0"/>
    <n v="114"/>
    <n v="1"/>
    <x v="1"/>
    <n v="2"/>
    <n v="2"/>
    <n v="0"/>
    <n v="7"/>
    <x v="0"/>
    <x v="0"/>
  </r>
  <r>
    <n v="58"/>
    <x v="1"/>
    <n v="1"/>
    <x v="0"/>
    <n v="3"/>
    <x v="1"/>
    <n v="132"/>
    <x v="2"/>
    <n v="224"/>
    <x v="1"/>
    <x v="0"/>
    <x v="0"/>
    <n v="2"/>
    <x v="0"/>
    <n v="173"/>
    <n v="0"/>
    <x v="0"/>
    <n v="3.2"/>
    <n v="1"/>
    <n v="2"/>
    <n v="7"/>
    <x v="0"/>
    <x v="0"/>
  </r>
  <r>
    <n v="41"/>
    <x v="3"/>
    <n v="0"/>
    <x v="1"/>
    <n v="3"/>
    <x v="1"/>
    <n v="112"/>
    <x v="1"/>
    <n v="268"/>
    <x v="0"/>
    <x v="0"/>
    <x v="0"/>
    <n v="2"/>
    <x v="0"/>
    <n v="172"/>
    <n v="1"/>
    <x v="1"/>
    <n v="0"/>
    <n v="1"/>
    <n v="0"/>
    <n v="3"/>
    <x v="0"/>
    <x v="1"/>
  </r>
  <r>
    <n v="41"/>
    <x v="3"/>
    <n v="1"/>
    <x v="0"/>
    <n v="3"/>
    <x v="1"/>
    <n v="112"/>
    <x v="1"/>
    <n v="250"/>
    <x v="0"/>
    <x v="0"/>
    <x v="0"/>
    <n v="0"/>
    <x v="1"/>
    <n v="179"/>
    <n v="0"/>
    <x v="0"/>
    <n v="0"/>
    <n v="1"/>
    <n v="0"/>
    <n v="3"/>
    <x v="0"/>
    <x v="1"/>
  </r>
  <r>
    <n v="50"/>
    <x v="3"/>
    <n v="0"/>
    <x v="1"/>
    <n v="3"/>
    <x v="1"/>
    <n v="120"/>
    <x v="1"/>
    <n v="219"/>
    <x v="1"/>
    <x v="0"/>
    <x v="0"/>
    <n v="0"/>
    <x v="1"/>
    <n v="158"/>
    <n v="0"/>
    <x v="0"/>
    <n v="1.6"/>
    <n v="2"/>
    <n v="0"/>
    <n v="3"/>
    <x v="0"/>
    <x v="1"/>
  </r>
  <r>
    <n v="54"/>
    <x v="1"/>
    <n v="0"/>
    <x v="1"/>
    <n v="3"/>
    <x v="1"/>
    <n v="108"/>
    <x v="1"/>
    <n v="267"/>
    <x v="0"/>
    <x v="0"/>
    <x v="0"/>
    <n v="2"/>
    <x v="0"/>
    <n v="167"/>
    <n v="0"/>
    <x v="0"/>
    <n v="0"/>
    <n v="1"/>
    <n v="0"/>
    <n v="3"/>
    <x v="0"/>
    <x v="1"/>
  </r>
  <r>
    <n v="64"/>
    <x v="0"/>
    <n v="0"/>
    <x v="1"/>
    <n v="4"/>
    <x v="0"/>
    <n v="130"/>
    <x v="0"/>
    <n v="303"/>
    <x v="0"/>
    <x v="0"/>
    <x v="0"/>
    <n v="0"/>
    <x v="1"/>
    <n v="122"/>
    <n v="0"/>
    <x v="0"/>
    <n v="2"/>
    <n v="2"/>
    <n v="2"/>
    <n v="3"/>
    <x v="0"/>
    <x v="1"/>
  </r>
  <r>
    <n v="51"/>
    <x v="1"/>
    <n v="0"/>
    <x v="1"/>
    <n v="3"/>
    <x v="1"/>
    <n v="130"/>
    <x v="0"/>
    <n v="256"/>
    <x v="0"/>
    <x v="0"/>
    <x v="0"/>
    <n v="2"/>
    <x v="0"/>
    <n v="149"/>
    <n v="0"/>
    <x v="0"/>
    <n v="0.5"/>
    <n v="1"/>
    <n v="0"/>
    <n v="3"/>
    <x v="0"/>
    <x v="1"/>
  </r>
  <r>
    <n v="46"/>
    <x v="3"/>
    <n v="0"/>
    <x v="1"/>
    <n v="2"/>
    <x v="2"/>
    <n v="105"/>
    <x v="1"/>
    <n v="204"/>
    <x v="1"/>
    <x v="0"/>
    <x v="0"/>
    <n v="0"/>
    <x v="1"/>
    <n v="172"/>
    <n v="0"/>
    <x v="0"/>
    <n v="0"/>
    <n v="1"/>
    <n v="0"/>
    <n v="3"/>
    <x v="0"/>
    <x v="1"/>
  </r>
  <r>
    <n v="55"/>
    <x v="1"/>
    <n v="1"/>
    <x v="0"/>
    <n v="4"/>
    <x v="0"/>
    <n v="140"/>
    <x v="2"/>
    <n v="217"/>
    <x v="1"/>
    <x v="0"/>
    <x v="0"/>
    <n v="0"/>
    <x v="1"/>
    <n v="111"/>
    <n v="1"/>
    <x v="1"/>
    <n v="5.6"/>
    <n v="3"/>
    <n v="0"/>
    <n v="7"/>
    <x v="0"/>
    <x v="0"/>
  </r>
  <r>
    <n v="45"/>
    <x v="3"/>
    <n v="1"/>
    <x v="0"/>
    <n v="2"/>
    <x v="2"/>
    <n v="128"/>
    <x v="0"/>
    <n v="308"/>
    <x v="0"/>
    <x v="0"/>
    <x v="0"/>
    <n v="2"/>
    <x v="0"/>
    <n v="170"/>
    <n v="0"/>
    <x v="0"/>
    <n v="0"/>
    <n v="1"/>
    <n v="0"/>
    <n v="3"/>
    <x v="0"/>
    <x v="1"/>
  </r>
  <r>
    <n v="56"/>
    <x v="1"/>
    <n v="1"/>
    <x v="0"/>
    <n v="1"/>
    <x v="3"/>
    <n v="120"/>
    <x v="1"/>
    <n v="193"/>
    <x v="1"/>
    <x v="0"/>
    <x v="0"/>
    <n v="2"/>
    <x v="0"/>
    <n v="162"/>
    <n v="0"/>
    <x v="0"/>
    <n v="1.9"/>
    <n v="2"/>
    <n v="0"/>
    <n v="7"/>
    <x v="0"/>
    <x v="1"/>
  </r>
  <r>
    <n v="66"/>
    <x v="0"/>
    <n v="0"/>
    <x v="1"/>
    <n v="4"/>
    <x v="0"/>
    <n v="178"/>
    <x v="3"/>
    <n v="228"/>
    <x v="1"/>
    <x v="1"/>
    <x v="1"/>
    <n v="0"/>
    <x v="1"/>
    <n v="165"/>
    <n v="1"/>
    <x v="1"/>
    <n v="1"/>
    <n v="2"/>
    <n v="2"/>
    <n v="7"/>
    <x v="0"/>
    <x v="0"/>
  </r>
  <r>
    <n v="38"/>
    <x v="4"/>
    <n v="1"/>
    <x v="0"/>
    <n v="1"/>
    <x v="3"/>
    <n v="120"/>
    <x v="1"/>
    <n v="231"/>
    <x v="1"/>
    <x v="0"/>
    <x v="0"/>
    <n v="0"/>
    <x v="1"/>
    <n v="182"/>
    <n v="1"/>
    <x v="1"/>
    <n v="3.8"/>
    <n v="2"/>
    <n v="0"/>
    <n v="7"/>
    <x v="0"/>
    <x v="0"/>
  </r>
  <r>
    <n v="62"/>
    <x v="0"/>
    <n v="0"/>
    <x v="1"/>
    <n v="4"/>
    <x v="0"/>
    <n v="150"/>
    <x v="3"/>
    <n v="244"/>
    <x v="0"/>
    <x v="0"/>
    <x v="0"/>
    <n v="0"/>
    <x v="1"/>
    <n v="154"/>
    <n v="1"/>
    <x v="1"/>
    <n v="1.4"/>
    <n v="2"/>
    <n v="0"/>
    <n v="3"/>
    <x v="0"/>
    <x v="0"/>
  </r>
  <r>
    <n v="55"/>
    <x v="1"/>
    <n v="1"/>
    <x v="0"/>
    <n v="2"/>
    <x v="2"/>
    <n v="130"/>
    <x v="0"/>
    <n v="262"/>
    <x v="0"/>
    <x v="0"/>
    <x v="0"/>
    <n v="0"/>
    <x v="1"/>
    <n v="155"/>
    <n v="0"/>
    <x v="0"/>
    <n v="0"/>
    <n v="1"/>
    <n v="0"/>
    <n v="3"/>
    <x v="0"/>
    <x v="1"/>
  </r>
  <r>
    <n v="58"/>
    <x v="1"/>
    <n v="1"/>
    <x v="0"/>
    <n v="4"/>
    <x v="0"/>
    <n v="128"/>
    <x v="0"/>
    <n v="259"/>
    <x v="0"/>
    <x v="0"/>
    <x v="0"/>
    <n v="2"/>
    <x v="0"/>
    <n v="130"/>
    <n v="1"/>
    <x v="1"/>
    <n v="3"/>
    <n v="2"/>
    <n v="2"/>
    <n v="7"/>
    <x v="0"/>
    <x v="0"/>
  </r>
  <r>
    <n v="43"/>
    <x v="3"/>
    <n v="1"/>
    <x v="0"/>
    <n v="4"/>
    <x v="0"/>
    <n v="110"/>
    <x v="1"/>
    <n v="211"/>
    <x v="1"/>
    <x v="0"/>
    <x v="0"/>
    <n v="0"/>
    <x v="1"/>
    <n v="161"/>
    <n v="0"/>
    <x v="0"/>
    <n v="0"/>
    <n v="1"/>
    <n v="0"/>
    <n v="7"/>
    <x v="0"/>
    <x v="1"/>
  </r>
  <r>
    <n v="64"/>
    <x v="0"/>
    <n v="0"/>
    <x v="1"/>
    <n v="4"/>
    <x v="0"/>
    <n v="180"/>
    <x v="3"/>
    <n v="325"/>
    <x v="0"/>
    <x v="0"/>
    <x v="0"/>
    <n v="0"/>
    <x v="1"/>
    <n v="154"/>
    <n v="1"/>
    <x v="1"/>
    <n v="0"/>
    <n v="1"/>
    <n v="0"/>
    <n v="3"/>
    <x v="0"/>
    <x v="1"/>
  </r>
  <r>
    <n v="50"/>
    <x v="3"/>
    <n v="0"/>
    <x v="1"/>
    <n v="4"/>
    <x v="0"/>
    <n v="110"/>
    <x v="1"/>
    <n v="254"/>
    <x v="0"/>
    <x v="0"/>
    <x v="0"/>
    <n v="2"/>
    <x v="0"/>
    <n v="159"/>
    <n v="0"/>
    <x v="0"/>
    <n v="0"/>
    <n v="1"/>
    <n v="0"/>
    <n v="3"/>
    <x v="0"/>
    <x v="1"/>
  </r>
  <r>
    <n v="53"/>
    <x v="1"/>
    <n v="1"/>
    <x v="0"/>
    <n v="3"/>
    <x v="1"/>
    <n v="130"/>
    <x v="0"/>
    <n v="197"/>
    <x v="1"/>
    <x v="1"/>
    <x v="1"/>
    <n v="2"/>
    <x v="0"/>
    <n v="152"/>
    <n v="0"/>
    <x v="0"/>
    <n v="1.2"/>
    <n v="3"/>
    <n v="0"/>
    <n v="3"/>
    <x v="0"/>
    <x v="1"/>
  </r>
  <r>
    <n v="45"/>
    <x v="3"/>
    <n v="0"/>
    <x v="1"/>
    <n v="4"/>
    <x v="0"/>
    <n v="138"/>
    <x v="2"/>
    <n v="236"/>
    <x v="1"/>
    <x v="0"/>
    <x v="0"/>
    <n v="2"/>
    <x v="0"/>
    <n v="152"/>
    <n v="1"/>
    <x v="1"/>
    <n v="0.2"/>
    <n v="2"/>
    <n v="0"/>
    <n v="3"/>
    <x v="0"/>
    <x v="1"/>
  </r>
  <r>
    <n v="65"/>
    <x v="0"/>
    <n v="1"/>
    <x v="0"/>
    <n v="1"/>
    <x v="3"/>
    <n v="138"/>
    <x v="2"/>
    <n v="282"/>
    <x v="0"/>
    <x v="1"/>
    <x v="1"/>
    <n v="2"/>
    <x v="0"/>
    <n v="174"/>
    <n v="0"/>
    <x v="0"/>
    <n v="1.4"/>
    <n v="2"/>
    <n v="1"/>
    <n v="3"/>
    <x v="0"/>
    <x v="0"/>
  </r>
  <r>
    <n v="69"/>
    <x v="0"/>
    <n v="1"/>
    <x v="0"/>
    <n v="1"/>
    <x v="3"/>
    <n v="160"/>
    <x v="3"/>
    <n v="234"/>
    <x v="1"/>
    <x v="1"/>
    <x v="1"/>
    <n v="2"/>
    <x v="0"/>
    <n v="131"/>
    <n v="0"/>
    <x v="0"/>
    <n v="0.1"/>
    <n v="2"/>
    <n v="1"/>
    <n v="3"/>
    <x v="0"/>
    <x v="1"/>
  </r>
  <r>
    <n v="69"/>
    <x v="0"/>
    <n v="1"/>
    <x v="0"/>
    <n v="3"/>
    <x v="1"/>
    <n v="140"/>
    <x v="2"/>
    <n v="254"/>
    <x v="0"/>
    <x v="0"/>
    <x v="0"/>
    <n v="2"/>
    <x v="0"/>
    <n v="146"/>
    <n v="0"/>
    <x v="0"/>
    <n v="2"/>
    <n v="2"/>
    <n v="3"/>
    <n v="7"/>
    <x v="0"/>
    <x v="0"/>
  </r>
  <r>
    <n v="67"/>
    <x v="0"/>
    <n v="1"/>
    <x v="0"/>
    <n v="4"/>
    <x v="0"/>
    <n v="100"/>
    <x v="1"/>
    <n v="299"/>
    <x v="0"/>
    <x v="0"/>
    <x v="0"/>
    <n v="2"/>
    <x v="0"/>
    <n v="125"/>
    <n v="1"/>
    <x v="1"/>
    <n v="0.9"/>
    <n v="2"/>
    <n v="2"/>
    <n v="3"/>
    <x v="0"/>
    <x v="0"/>
  </r>
  <r>
    <n v="68"/>
    <x v="0"/>
    <n v="0"/>
    <x v="1"/>
    <n v="3"/>
    <x v="1"/>
    <n v="120"/>
    <x v="1"/>
    <n v="211"/>
    <x v="1"/>
    <x v="0"/>
    <x v="0"/>
    <n v="2"/>
    <x v="0"/>
    <n v="115"/>
    <n v="0"/>
    <x v="0"/>
    <n v="1.5"/>
    <n v="2"/>
    <n v="0"/>
    <n v="3"/>
    <x v="0"/>
    <x v="1"/>
  </r>
  <r>
    <n v="34"/>
    <x v="4"/>
    <n v="1"/>
    <x v="0"/>
    <n v="1"/>
    <x v="3"/>
    <n v="118"/>
    <x v="1"/>
    <n v="182"/>
    <x v="1"/>
    <x v="0"/>
    <x v="0"/>
    <n v="2"/>
    <x v="0"/>
    <n v="174"/>
    <n v="0"/>
    <x v="0"/>
    <n v="0"/>
    <n v="1"/>
    <n v="0"/>
    <n v="3"/>
    <x v="0"/>
    <x v="1"/>
  </r>
  <r>
    <n v="62"/>
    <x v="0"/>
    <n v="0"/>
    <x v="1"/>
    <n v="4"/>
    <x v="0"/>
    <n v="138"/>
    <x v="2"/>
    <n v="294"/>
    <x v="0"/>
    <x v="1"/>
    <x v="1"/>
    <n v="0"/>
    <x v="1"/>
    <n v="106"/>
    <n v="0"/>
    <x v="0"/>
    <n v="1.9"/>
    <n v="2"/>
    <n v="3"/>
    <n v="3"/>
    <x v="0"/>
    <x v="0"/>
  </r>
  <r>
    <n v="51"/>
    <x v="1"/>
    <n v="1"/>
    <x v="0"/>
    <n v="4"/>
    <x v="0"/>
    <n v="140"/>
    <x v="2"/>
    <n v="298"/>
    <x v="0"/>
    <x v="0"/>
    <x v="0"/>
    <n v="0"/>
    <x v="1"/>
    <n v="122"/>
    <n v="1"/>
    <x v="1"/>
    <n v="4.2"/>
    <n v="2"/>
    <n v="3"/>
    <n v="7"/>
    <x v="0"/>
    <x v="0"/>
  </r>
  <r>
    <n v="46"/>
    <x v="3"/>
    <n v="1"/>
    <x v="0"/>
    <n v="3"/>
    <x v="1"/>
    <n v="150"/>
    <x v="3"/>
    <n v="231"/>
    <x v="1"/>
    <x v="0"/>
    <x v="0"/>
    <n v="0"/>
    <x v="1"/>
    <n v="147"/>
    <n v="0"/>
    <x v="0"/>
    <n v="3.6"/>
    <n v="2"/>
    <n v="0"/>
    <n v="3"/>
    <x v="0"/>
    <x v="0"/>
  </r>
  <r>
    <n v="67"/>
    <x v="0"/>
    <n v="1"/>
    <x v="0"/>
    <n v="4"/>
    <x v="0"/>
    <n v="125"/>
    <x v="0"/>
    <n v="254"/>
    <x v="0"/>
    <x v="1"/>
    <x v="1"/>
    <n v="0"/>
    <x v="1"/>
    <n v="163"/>
    <n v="0"/>
    <x v="0"/>
    <n v="0.2"/>
    <n v="2"/>
    <n v="2"/>
    <n v="7"/>
    <x v="0"/>
    <x v="0"/>
  </r>
  <r>
    <n v="50"/>
    <x v="3"/>
    <n v="1"/>
    <x v="0"/>
    <n v="3"/>
    <x v="1"/>
    <n v="129"/>
    <x v="0"/>
    <n v="196"/>
    <x v="1"/>
    <x v="0"/>
    <x v="0"/>
    <n v="0"/>
    <x v="1"/>
    <n v="163"/>
    <n v="0"/>
    <x v="0"/>
    <n v="0"/>
    <n v="1"/>
    <n v="0"/>
    <n v="3"/>
    <x v="1"/>
    <x v="1"/>
  </r>
  <r>
    <n v="42"/>
    <x v="3"/>
    <n v="1"/>
    <x v="0"/>
    <n v="3"/>
    <x v="1"/>
    <n v="120"/>
    <x v="1"/>
    <n v="240"/>
    <x v="0"/>
    <x v="1"/>
    <x v="1"/>
    <n v="0"/>
    <x v="1"/>
    <n v="194"/>
    <n v="0"/>
    <x v="0"/>
    <n v="0.8"/>
    <n v="3"/>
    <n v="0"/>
    <n v="7"/>
    <x v="0"/>
    <x v="1"/>
  </r>
  <r>
    <n v="56"/>
    <x v="1"/>
    <n v="0"/>
    <x v="1"/>
    <n v="4"/>
    <x v="0"/>
    <n v="134"/>
    <x v="2"/>
    <n v="409"/>
    <x v="0"/>
    <x v="0"/>
    <x v="0"/>
    <n v="2"/>
    <x v="0"/>
    <n v="150"/>
    <n v="1"/>
    <x v="1"/>
    <n v="1.9"/>
    <n v="2"/>
    <n v="2"/>
    <n v="7"/>
    <x v="0"/>
    <x v="0"/>
  </r>
  <r>
    <n v="41"/>
    <x v="3"/>
    <n v="1"/>
    <x v="0"/>
    <n v="4"/>
    <x v="0"/>
    <n v="110"/>
    <x v="1"/>
    <n v="172"/>
    <x v="1"/>
    <x v="0"/>
    <x v="0"/>
    <n v="2"/>
    <x v="0"/>
    <n v="158"/>
    <n v="0"/>
    <x v="0"/>
    <n v="0"/>
    <n v="1"/>
    <n v="0"/>
    <n v="7"/>
    <x v="0"/>
    <x v="0"/>
  </r>
  <r>
    <n v="42"/>
    <x v="3"/>
    <n v="0"/>
    <x v="1"/>
    <n v="4"/>
    <x v="0"/>
    <n v="102"/>
    <x v="1"/>
    <n v="265"/>
    <x v="0"/>
    <x v="0"/>
    <x v="0"/>
    <n v="2"/>
    <x v="0"/>
    <n v="122"/>
    <n v="0"/>
    <x v="0"/>
    <n v="0.6"/>
    <n v="2"/>
    <n v="0"/>
    <n v="3"/>
    <x v="0"/>
    <x v="1"/>
  </r>
  <r>
    <n v="53"/>
    <x v="1"/>
    <n v="1"/>
    <x v="0"/>
    <n v="3"/>
    <x v="1"/>
    <n v="130"/>
    <x v="0"/>
    <n v="246"/>
    <x v="0"/>
    <x v="1"/>
    <x v="1"/>
    <n v="2"/>
    <x v="0"/>
    <n v="173"/>
    <n v="0"/>
    <x v="0"/>
    <n v="0"/>
    <n v="1"/>
    <n v="3"/>
    <n v="3"/>
    <x v="0"/>
    <x v="1"/>
  </r>
  <r>
    <n v="43"/>
    <x v="3"/>
    <n v="1"/>
    <x v="0"/>
    <n v="3"/>
    <x v="1"/>
    <n v="130"/>
    <x v="0"/>
    <n v="315"/>
    <x v="0"/>
    <x v="0"/>
    <x v="0"/>
    <n v="0"/>
    <x v="1"/>
    <n v="162"/>
    <n v="0"/>
    <x v="0"/>
    <n v="1.9"/>
    <n v="1"/>
    <n v="1"/>
    <n v="3"/>
    <x v="0"/>
    <x v="1"/>
  </r>
  <r>
    <n v="56"/>
    <x v="1"/>
    <n v="1"/>
    <x v="0"/>
    <n v="4"/>
    <x v="0"/>
    <n v="132"/>
    <x v="2"/>
    <n v="184"/>
    <x v="1"/>
    <x v="0"/>
    <x v="0"/>
    <n v="2"/>
    <x v="0"/>
    <n v="105"/>
    <n v="1"/>
    <x v="1"/>
    <n v="2.1"/>
    <n v="2"/>
    <n v="1"/>
    <n v="6"/>
    <x v="0"/>
    <x v="0"/>
  </r>
  <r>
    <n v="52"/>
    <x v="1"/>
    <n v="1"/>
    <x v="0"/>
    <n v="4"/>
    <x v="0"/>
    <n v="108"/>
    <x v="1"/>
    <n v="233"/>
    <x v="1"/>
    <x v="1"/>
    <x v="1"/>
    <n v="0"/>
    <x v="1"/>
    <n v="147"/>
    <n v="0"/>
    <x v="0"/>
    <n v="0.1"/>
    <n v="1"/>
    <n v="3"/>
    <n v="7"/>
    <x v="0"/>
    <x v="1"/>
  </r>
  <r>
    <n v="62"/>
    <x v="0"/>
    <n v="0"/>
    <x v="1"/>
    <n v="4"/>
    <x v="0"/>
    <n v="140"/>
    <x v="2"/>
    <n v="394"/>
    <x v="0"/>
    <x v="0"/>
    <x v="0"/>
    <n v="2"/>
    <x v="0"/>
    <n v="157"/>
    <n v="0"/>
    <x v="0"/>
    <n v="1.2"/>
    <n v="2"/>
    <n v="0"/>
    <n v="3"/>
    <x v="0"/>
    <x v="1"/>
  </r>
  <r>
    <n v="70"/>
    <x v="0"/>
    <n v="1"/>
    <x v="0"/>
    <n v="3"/>
    <x v="1"/>
    <n v="160"/>
    <x v="3"/>
    <n v="269"/>
    <x v="0"/>
    <x v="0"/>
    <x v="0"/>
    <n v="0"/>
    <x v="1"/>
    <n v="112"/>
    <n v="1"/>
    <x v="1"/>
    <n v="2.9"/>
    <n v="2"/>
    <n v="1"/>
    <n v="7"/>
    <x v="0"/>
    <x v="0"/>
  </r>
  <r>
    <n v="54"/>
    <x v="1"/>
    <n v="1"/>
    <x v="0"/>
    <n v="4"/>
    <x v="0"/>
    <n v="140"/>
    <x v="2"/>
    <n v="239"/>
    <x v="1"/>
    <x v="0"/>
    <x v="0"/>
    <n v="0"/>
    <x v="1"/>
    <n v="160"/>
    <n v="0"/>
    <x v="0"/>
    <n v="1.2"/>
    <n v="1"/>
    <n v="0"/>
    <n v="3"/>
    <x v="0"/>
    <x v="1"/>
  </r>
  <r>
    <n v="70"/>
    <x v="0"/>
    <n v="1"/>
    <x v="0"/>
    <n v="4"/>
    <x v="0"/>
    <n v="145"/>
    <x v="3"/>
    <n v="174"/>
    <x v="1"/>
    <x v="0"/>
    <x v="0"/>
    <n v="0"/>
    <x v="1"/>
    <n v="125"/>
    <n v="1"/>
    <x v="1"/>
    <n v="2.6"/>
    <n v="3"/>
    <n v="0"/>
    <n v="7"/>
    <x v="0"/>
    <x v="0"/>
  </r>
  <r>
    <n v="54"/>
    <x v="1"/>
    <n v="1"/>
    <x v="0"/>
    <n v="2"/>
    <x v="2"/>
    <n v="108"/>
    <x v="1"/>
    <n v="309"/>
    <x v="0"/>
    <x v="0"/>
    <x v="0"/>
    <n v="0"/>
    <x v="1"/>
    <n v="156"/>
    <n v="0"/>
    <x v="0"/>
    <n v="0"/>
    <n v="1"/>
    <n v="0"/>
    <n v="7"/>
    <x v="0"/>
    <x v="1"/>
  </r>
  <r>
    <n v="35"/>
    <x v="4"/>
    <n v="1"/>
    <x v="0"/>
    <n v="4"/>
    <x v="0"/>
    <n v="126"/>
    <x v="0"/>
    <n v="282"/>
    <x v="0"/>
    <x v="0"/>
    <x v="0"/>
    <n v="2"/>
    <x v="0"/>
    <n v="156"/>
    <n v="1"/>
    <x v="1"/>
    <n v="0"/>
    <n v="1"/>
    <n v="0"/>
    <n v="7"/>
    <x v="0"/>
    <x v="0"/>
  </r>
  <r>
    <n v="48"/>
    <x v="3"/>
    <n v="1"/>
    <x v="0"/>
    <n v="3"/>
    <x v="1"/>
    <n v="124"/>
    <x v="0"/>
    <n v="255"/>
    <x v="0"/>
    <x v="1"/>
    <x v="1"/>
    <n v="0"/>
    <x v="1"/>
    <n v="175"/>
    <n v="0"/>
    <x v="0"/>
    <n v="0"/>
    <n v="1"/>
    <n v="2"/>
    <n v="3"/>
    <x v="0"/>
    <x v="1"/>
  </r>
  <r>
    <n v="55"/>
    <x v="1"/>
    <n v="0"/>
    <x v="1"/>
    <n v="2"/>
    <x v="2"/>
    <n v="135"/>
    <x v="2"/>
    <n v="250"/>
    <x v="0"/>
    <x v="0"/>
    <x v="0"/>
    <n v="2"/>
    <x v="0"/>
    <n v="161"/>
    <n v="0"/>
    <x v="0"/>
    <n v="1.4"/>
    <n v="2"/>
    <n v="0"/>
    <n v="3"/>
    <x v="0"/>
    <x v="1"/>
  </r>
  <r>
    <n v="58"/>
    <x v="1"/>
    <n v="0"/>
    <x v="1"/>
    <n v="4"/>
    <x v="0"/>
    <n v="100"/>
    <x v="1"/>
    <n v="248"/>
    <x v="0"/>
    <x v="0"/>
    <x v="0"/>
    <n v="2"/>
    <x v="0"/>
    <n v="122"/>
    <n v="0"/>
    <x v="0"/>
    <n v="1"/>
    <n v="2"/>
    <n v="0"/>
    <n v="3"/>
    <x v="0"/>
    <x v="1"/>
  </r>
  <r>
    <n v="54"/>
    <x v="1"/>
    <n v="0"/>
    <x v="1"/>
    <n v="3"/>
    <x v="1"/>
    <n v="110"/>
    <x v="1"/>
    <n v="214"/>
    <x v="1"/>
    <x v="0"/>
    <x v="0"/>
    <n v="0"/>
    <x v="1"/>
    <n v="158"/>
    <n v="0"/>
    <x v="0"/>
    <n v="1.6"/>
    <n v="2"/>
    <n v="0"/>
    <n v="3"/>
    <x v="0"/>
    <x v="1"/>
  </r>
  <r>
    <n v="69"/>
    <x v="0"/>
    <n v="0"/>
    <x v="1"/>
    <n v="1"/>
    <x v="3"/>
    <n v="140"/>
    <x v="2"/>
    <n v="239"/>
    <x v="1"/>
    <x v="0"/>
    <x v="0"/>
    <n v="0"/>
    <x v="1"/>
    <n v="151"/>
    <n v="0"/>
    <x v="0"/>
    <n v="1.8"/>
    <n v="1"/>
    <n v="2"/>
    <n v="3"/>
    <x v="0"/>
    <x v="1"/>
  </r>
  <r>
    <n v="77"/>
    <x v="2"/>
    <n v="1"/>
    <x v="0"/>
    <n v="4"/>
    <x v="0"/>
    <n v="125"/>
    <x v="0"/>
    <n v="304"/>
    <x v="0"/>
    <x v="0"/>
    <x v="0"/>
    <n v="2"/>
    <x v="0"/>
    <n v="162"/>
    <n v="1"/>
    <x v="1"/>
    <n v="0"/>
    <n v="1"/>
    <n v="3"/>
    <n v="3"/>
    <x v="0"/>
    <x v="0"/>
  </r>
  <r>
    <n v="68"/>
    <x v="0"/>
    <n v="1"/>
    <x v="0"/>
    <n v="3"/>
    <x v="1"/>
    <n v="118"/>
    <x v="1"/>
    <n v="277"/>
    <x v="0"/>
    <x v="0"/>
    <x v="0"/>
    <n v="0"/>
    <x v="1"/>
    <n v="151"/>
    <n v="0"/>
    <x v="0"/>
    <n v="1"/>
    <n v="1"/>
    <n v="1"/>
    <n v="7"/>
    <x v="0"/>
    <x v="1"/>
  </r>
  <r>
    <n v="58"/>
    <x v="1"/>
    <n v="1"/>
    <x v="0"/>
    <n v="4"/>
    <x v="0"/>
    <n v="125"/>
    <x v="0"/>
    <n v="300"/>
    <x v="0"/>
    <x v="0"/>
    <x v="0"/>
    <n v="2"/>
    <x v="0"/>
    <n v="171"/>
    <n v="0"/>
    <x v="0"/>
    <n v="0"/>
    <n v="1"/>
    <n v="2"/>
    <n v="7"/>
    <x v="0"/>
    <x v="0"/>
  </r>
  <r>
    <n v="60"/>
    <x v="1"/>
    <n v="1"/>
    <x v="0"/>
    <n v="4"/>
    <x v="0"/>
    <n v="125"/>
    <x v="0"/>
    <n v="258"/>
    <x v="0"/>
    <x v="0"/>
    <x v="0"/>
    <n v="2"/>
    <x v="0"/>
    <n v="141"/>
    <n v="1"/>
    <x v="1"/>
    <n v="2.8"/>
    <n v="2"/>
    <n v="1"/>
    <n v="7"/>
    <x v="0"/>
    <x v="0"/>
  </r>
  <r>
    <n v="51"/>
    <x v="1"/>
    <n v="1"/>
    <x v="0"/>
    <n v="4"/>
    <x v="0"/>
    <n v="140"/>
    <x v="2"/>
    <n v="299"/>
    <x v="0"/>
    <x v="0"/>
    <x v="0"/>
    <n v="0"/>
    <x v="1"/>
    <n v="173"/>
    <n v="1"/>
    <x v="1"/>
    <n v="1.6"/>
    <n v="1"/>
    <n v="0"/>
    <n v="7"/>
    <x v="0"/>
    <x v="0"/>
  </r>
  <r>
    <n v="55"/>
    <x v="1"/>
    <n v="1"/>
    <x v="0"/>
    <n v="4"/>
    <x v="0"/>
    <n v="160"/>
    <x v="3"/>
    <n v="289"/>
    <x v="0"/>
    <x v="0"/>
    <x v="0"/>
    <n v="2"/>
    <x v="0"/>
    <n v="145"/>
    <n v="1"/>
    <x v="1"/>
    <n v="0.8"/>
    <n v="2"/>
    <n v="1"/>
    <n v="7"/>
    <x v="0"/>
    <x v="0"/>
  </r>
  <r>
    <n v="52"/>
    <x v="1"/>
    <n v="1"/>
    <x v="0"/>
    <n v="1"/>
    <x v="3"/>
    <n v="152"/>
    <x v="3"/>
    <n v="298"/>
    <x v="0"/>
    <x v="1"/>
    <x v="1"/>
    <n v="0"/>
    <x v="1"/>
    <n v="178"/>
    <n v="0"/>
    <x v="0"/>
    <n v="1.2"/>
    <n v="2"/>
    <n v="0"/>
    <n v="7"/>
    <x v="0"/>
    <x v="1"/>
  </r>
  <r>
    <n v="60"/>
    <x v="1"/>
    <n v="0"/>
    <x v="1"/>
    <n v="3"/>
    <x v="1"/>
    <n v="102"/>
    <x v="1"/>
    <n v="318"/>
    <x v="0"/>
    <x v="0"/>
    <x v="0"/>
    <n v="0"/>
    <x v="1"/>
    <n v="160"/>
    <n v="0"/>
    <x v="0"/>
    <n v="0"/>
    <n v="1"/>
    <n v="1"/>
    <n v="3"/>
    <x v="0"/>
    <x v="1"/>
  </r>
  <r>
    <n v="58"/>
    <x v="1"/>
    <n v="1"/>
    <x v="0"/>
    <n v="3"/>
    <x v="1"/>
    <n v="105"/>
    <x v="1"/>
    <n v="240"/>
    <x v="0"/>
    <x v="0"/>
    <x v="0"/>
    <n v="2"/>
    <x v="0"/>
    <n v="154"/>
    <n v="1"/>
    <x v="1"/>
    <n v="0.6"/>
    <n v="2"/>
    <n v="0"/>
    <n v="7"/>
    <x v="0"/>
    <x v="1"/>
  </r>
  <r>
    <n v="64"/>
    <x v="0"/>
    <n v="1"/>
    <x v="0"/>
    <n v="3"/>
    <x v="1"/>
    <n v="125"/>
    <x v="0"/>
    <n v="309"/>
    <x v="0"/>
    <x v="0"/>
    <x v="0"/>
    <n v="0"/>
    <x v="1"/>
    <n v="131"/>
    <n v="1"/>
    <x v="1"/>
    <n v="1.8"/>
    <n v="2"/>
    <n v="0"/>
    <n v="7"/>
    <x v="0"/>
    <x v="0"/>
  </r>
  <r>
    <n v="37"/>
    <x v="4"/>
    <n v="1"/>
    <x v="0"/>
    <n v="3"/>
    <x v="1"/>
    <n v="130"/>
    <x v="0"/>
    <n v="250"/>
    <x v="0"/>
    <x v="0"/>
    <x v="0"/>
    <n v="0"/>
    <x v="1"/>
    <n v="187"/>
    <n v="0"/>
    <x v="0"/>
    <n v="3.5"/>
    <n v="3"/>
    <n v="0"/>
    <n v="3"/>
    <x v="0"/>
    <x v="1"/>
  </r>
  <r>
    <n v="59"/>
    <x v="1"/>
    <n v="1"/>
    <x v="0"/>
    <n v="1"/>
    <x v="3"/>
    <n v="170"/>
    <x v="3"/>
    <n v="288"/>
    <x v="0"/>
    <x v="0"/>
    <x v="0"/>
    <n v="2"/>
    <x v="0"/>
    <n v="159"/>
    <n v="0"/>
    <x v="0"/>
    <n v="0.2"/>
    <n v="2"/>
    <n v="0"/>
    <n v="7"/>
    <x v="0"/>
    <x v="0"/>
  </r>
  <r>
    <n v="51"/>
    <x v="1"/>
    <n v="1"/>
    <x v="0"/>
    <n v="3"/>
    <x v="1"/>
    <n v="125"/>
    <x v="0"/>
    <n v="245"/>
    <x v="0"/>
    <x v="1"/>
    <x v="1"/>
    <n v="2"/>
    <x v="0"/>
    <n v="166"/>
    <n v="0"/>
    <x v="0"/>
    <n v="2.4"/>
    <n v="2"/>
    <n v="0"/>
    <n v="3"/>
    <x v="0"/>
    <x v="1"/>
  </r>
  <r>
    <n v="43"/>
    <x v="3"/>
    <n v="0"/>
    <x v="1"/>
    <n v="3"/>
    <x v="1"/>
    <n v="122"/>
    <x v="0"/>
    <n v="213"/>
    <x v="1"/>
    <x v="0"/>
    <x v="0"/>
    <n v="0"/>
    <x v="1"/>
    <n v="165"/>
    <n v="0"/>
    <x v="0"/>
    <n v="0.2"/>
    <n v="2"/>
    <n v="0"/>
    <n v="3"/>
    <x v="0"/>
    <x v="1"/>
  </r>
  <r>
    <n v="58"/>
    <x v="1"/>
    <n v="1"/>
    <x v="0"/>
    <n v="4"/>
    <x v="0"/>
    <n v="128"/>
    <x v="0"/>
    <n v="216"/>
    <x v="1"/>
    <x v="0"/>
    <x v="0"/>
    <n v="2"/>
    <x v="0"/>
    <n v="131"/>
    <n v="1"/>
    <x v="1"/>
    <n v="2.2000000000000002"/>
    <n v="2"/>
    <n v="3"/>
    <n v="7"/>
    <x v="0"/>
    <x v="0"/>
  </r>
  <r>
    <n v="29"/>
    <x v="5"/>
    <n v="1"/>
    <x v="0"/>
    <n v="2"/>
    <x v="2"/>
    <n v="130"/>
    <x v="0"/>
    <n v="204"/>
    <x v="1"/>
    <x v="0"/>
    <x v="0"/>
    <n v="2"/>
    <x v="0"/>
    <n v="202"/>
    <n v="0"/>
    <x v="0"/>
    <n v="0"/>
    <n v="1"/>
    <n v="0"/>
    <n v="3"/>
    <x v="0"/>
    <x v="1"/>
  </r>
  <r>
    <n v="41"/>
    <x v="3"/>
    <n v="0"/>
    <x v="1"/>
    <n v="2"/>
    <x v="2"/>
    <n v="130"/>
    <x v="0"/>
    <n v="204"/>
    <x v="1"/>
    <x v="0"/>
    <x v="0"/>
    <n v="2"/>
    <x v="0"/>
    <n v="172"/>
    <n v="0"/>
    <x v="0"/>
    <n v="1.4"/>
    <n v="1"/>
    <n v="0"/>
    <n v="3"/>
    <x v="0"/>
    <x v="1"/>
  </r>
  <r>
    <n v="63"/>
    <x v="0"/>
    <n v="0"/>
    <x v="1"/>
    <n v="3"/>
    <x v="1"/>
    <n v="135"/>
    <x v="2"/>
    <n v="252"/>
    <x v="0"/>
    <x v="0"/>
    <x v="0"/>
    <n v="2"/>
    <x v="0"/>
    <n v="172"/>
    <n v="0"/>
    <x v="0"/>
    <n v="0"/>
    <n v="1"/>
    <n v="0"/>
    <n v="3"/>
    <x v="0"/>
    <x v="1"/>
  </r>
  <r>
    <n v="51"/>
    <x v="1"/>
    <n v="1"/>
    <x v="0"/>
    <n v="3"/>
    <x v="1"/>
    <n v="94"/>
    <x v="1"/>
    <n v="227"/>
    <x v="1"/>
    <x v="0"/>
    <x v="0"/>
    <n v="0"/>
    <x v="1"/>
    <n v="154"/>
    <n v="1"/>
    <x v="1"/>
    <n v="0"/>
    <n v="1"/>
    <n v="1"/>
    <n v="7"/>
    <x v="0"/>
    <x v="1"/>
  </r>
  <r>
    <n v="54"/>
    <x v="1"/>
    <n v="1"/>
    <x v="0"/>
    <n v="3"/>
    <x v="1"/>
    <n v="120"/>
    <x v="1"/>
    <n v="258"/>
    <x v="0"/>
    <x v="0"/>
    <x v="0"/>
    <n v="2"/>
    <x v="0"/>
    <n v="147"/>
    <n v="0"/>
    <x v="0"/>
    <n v="0.4"/>
    <n v="2"/>
    <n v="0"/>
    <n v="7"/>
    <x v="0"/>
    <x v="1"/>
  </r>
  <r>
    <n v="44"/>
    <x v="3"/>
    <n v="1"/>
    <x v="0"/>
    <n v="2"/>
    <x v="2"/>
    <n v="120"/>
    <x v="1"/>
    <n v="220"/>
    <x v="1"/>
    <x v="0"/>
    <x v="0"/>
    <n v="0"/>
    <x v="1"/>
    <n v="170"/>
    <n v="0"/>
    <x v="0"/>
    <n v="0"/>
    <n v="1"/>
    <n v="0"/>
    <n v="3"/>
    <x v="0"/>
    <x v="1"/>
  </r>
  <r>
    <n v="54"/>
    <x v="1"/>
    <n v="1"/>
    <x v="0"/>
    <n v="4"/>
    <x v="0"/>
    <n v="110"/>
    <x v="1"/>
    <n v="239"/>
    <x v="1"/>
    <x v="0"/>
    <x v="0"/>
    <n v="0"/>
    <x v="1"/>
    <n v="126"/>
    <n v="1"/>
    <x v="1"/>
    <n v="2.8"/>
    <n v="2"/>
    <n v="1"/>
    <n v="7"/>
    <x v="0"/>
    <x v="0"/>
  </r>
  <r>
    <n v="65"/>
    <x v="0"/>
    <n v="1"/>
    <x v="0"/>
    <n v="4"/>
    <x v="0"/>
    <n v="135"/>
    <x v="2"/>
    <n v="254"/>
    <x v="0"/>
    <x v="0"/>
    <x v="0"/>
    <n v="2"/>
    <x v="0"/>
    <n v="127"/>
    <n v="0"/>
    <x v="0"/>
    <n v="2.8"/>
    <n v="2"/>
    <n v="1"/>
    <n v="7"/>
    <x v="0"/>
    <x v="0"/>
  </r>
  <r>
    <n v="57"/>
    <x v="1"/>
    <n v="1"/>
    <x v="0"/>
    <n v="3"/>
    <x v="1"/>
    <n v="150"/>
    <x v="3"/>
    <n v="168"/>
    <x v="1"/>
    <x v="0"/>
    <x v="0"/>
    <n v="0"/>
    <x v="1"/>
    <n v="174"/>
    <n v="0"/>
    <x v="0"/>
    <n v="1.6"/>
    <n v="1"/>
    <n v="0"/>
    <n v="3"/>
    <x v="0"/>
    <x v="1"/>
  </r>
  <r>
    <n v="63"/>
    <x v="0"/>
    <n v="1"/>
    <x v="0"/>
    <n v="4"/>
    <x v="0"/>
    <n v="130"/>
    <x v="0"/>
    <n v="330"/>
    <x v="0"/>
    <x v="1"/>
    <x v="1"/>
    <n v="2"/>
    <x v="0"/>
    <n v="132"/>
    <n v="1"/>
    <x v="1"/>
    <n v="1.8"/>
    <n v="1"/>
    <n v="3"/>
    <n v="7"/>
    <x v="0"/>
    <x v="0"/>
  </r>
  <r>
    <n v="35"/>
    <x v="4"/>
    <n v="0"/>
    <x v="1"/>
    <n v="4"/>
    <x v="0"/>
    <n v="138"/>
    <x v="2"/>
    <n v="183"/>
    <x v="1"/>
    <x v="0"/>
    <x v="0"/>
    <n v="0"/>
    <x v="1"/>
    <n v="182"/>
    <n v="0"/>
    <x v="0"/>
    <n v="1.4"/>
    <n v="1"/>
    <n v="0"/>
    <n v="3"/>
    <x v="0"/>
    <x v="1"/>
  </r>
  <r>
    <n v="41"/>
    <x v="3"/>
    <n v="1"/>
    <x v="0"/>
    <n v="2"/>
    <x v="2"/>
    <n v="135"/>
    <x v="2"/>
    <n v="203"/>
    <x v="1"/>
    <x v="0"/>
    <x v="0"/>
    <n v="0"/>
    <x v="1"/>
    <n v="132"/>
    <n v="0"/>
    <x v="0"/>
    <n v="0"/>
    <n v="2"/>
    <n v="0"/>
    <n v="6"/>
    <x v="0"/>
    <x v="1"/>
  </r>
  <r>
    <n v="62"/>
    <x v="0"/>
    <n v="0"/>
    <x v="1"/>
    <n v="3"/>
    <x v="1"/>
    <n v="130"/>
    <x v="0"/>
    <n v="263"/>
    <x v="0"/>
    <x v="0"/>
    <x v="0"/>
    <n v="0"/>
    <x v="1"/>
    <n v="97"/>
    <n v="0"/>
    <x v="0"/>
    <n v="1.2"/>
    <n v="2"/>
    <n v="1"/>
    <n v="7"/>
    <x v="0"/>
    <x v="0"/>
  </r>
  <r>
    <n v="43"/>
    <x v="3"/>
    <n v="0"/>
    <x v="1"/>
    <n v="4"/>
    <x v="0"/>
    <n v="132"/>
    <x v="2"/>
    <n v="341"/>
    <x v="0"/>
    <x v="1"/>
    <x v="1"/>
    <n v="2"/>
    <x v="0"/>
    <n v="136"/>
    <n v="1"/>
    <x v="1"/>
    <n v="3"/>
    <n v="2"/>
    <n v="0"/>
    <n v="7"/>
    <x v="0"/>
    <x v="0"/>
  </r>
  <r>
    <n v="58"/>
    <x v="1"/>
    <n v="0"/>
    <x v="1"/>
    <n v="1"/>
    <x v="3"/>
    <n v="150"/>
    <x v="3"/>
    <n v="283"/>
    <x v="0"/>
    <x v="1"/>
    <x v="1"/>
    <n v="2"/>
    <x v="0"/>
    <n v="162"/>
    <n v="0"/>
    <x v="0"/>
    <n v="1"/>
    <n v="1"/>
    <n v="0"/>
    <n v="3"/>
    <x v="0"/>
    <x v="1"/>
  </r>
  <r>
    <n v="52"/>
    <x v="1"/>
    <n v="1"/>
    <x v="0"/>
    <n v="1"/>
    <x v="3"/>
    <n v="118"/>
    <x v="1"/>
    <n v="186"/>
    <x v="1"/>
    <x v="0"/>
    <x v="0"/>
    <n v="2"/>
    <x v="0"/>
    <n v="190"/>
    <n v="0"/>
    <x v="0"/>
    <n v="0"/>
    <n v="2"/>
    <n v="0"/>
    <n v="6"/>
    <x v="0"/>
    <x v="1"/>
  </r>
  <r>
    <n v="61"/>
    <x v="0"/>
    <n v="0"/>
    <x v="1"/>
    <n v="4"/>
    <x v="0"/>
    <n v="145"/>
    <x v="3"/>
    <n v="307"/>
    <x v="0"/>
    <x v="0"/>
    <x v="0"/>
    <n v="2"/>
    <x v="0"/>
    <n v="146"/>
    <n v="1"/>
    <x v="1"/>
    <n v="1"/>
    <n v="2"/>
    <n v="0"/>
    <n v="7"/>
    <x v="0"/>
    <x v="0"/>
  </r>
  <r>
    <n v="39"/>
    <x v="4"/>
    <n v="1"/>
    <x v="0"/>
    <n v="4"/>
    <x v="0"/>
    <n v="118"/>
    <x v="1"/>
    <n v="219"/>
    <x v="1"/>
    <x v="0"/>
    <x v="0"/>
    <n v="0"/>
    <x v="1"/>
    <n v="140"/>
    <n v="0"/>
    <x v="0"/>
    <n v="1.2"/>
    <n v="2"/>
    <n v="0"/>
    <n v="7"/>
    <x v="0"/>
    <x v="0"/>
  </r>
  <r>
    <n v="45"/>
    <x v="3"/>
    <n v="1"/>
    <x v="0"/>
    <n v="4"/>
    <x v="0"/>
    <n v="115"/>
    <x v="1"/>
    <n v="260"/>
    <x v="0"/>
    <x v="0"/>
    <x v="0"/>
    <n v="2"/>
    <x v="0"/>
    <n v="185"/>
    <n v="0"/>
    <x v="0"/>
    <n v="0"/>
    <n v="1"/>
    <n v="0"/>
    <n v="3"/>
    <x v="0"/>
    <x v="1"/>
  </r>
  <r>
    <n v="52"/>
    <x v="1"/>
    <n v="1"/>
    <x v="0"/>
    <n v="4"/>
    <x v="0"/>
    <n v="128"/>
    <x v="0"/>
    <n v="255"/>
    <x v="0"/>
    <x v="0"/>
    <x v="0"/>
    <n v="0"/>
    <x v="1"/>
    <n v="161"/>
    <n v="1"/>
    <x v="1"/>
    <n v="0"/>
    <n v="1"/>
    <n v="1"/>
    <n v="7"/>
    <x v="0"/>
    <x v="0"/>
  </r>
  <r>
    <n v="62"/>
    <x v="0"/>
    <n v="1"/>
    <x v="0"/>
    <n v="3"/>
    <x v="1"/>
    <n v="130"/>
    <x v="0"/>
    <n v="231"/>
    <x v="1"/>
    <x v="0"/>
    <x v="0"/>
    <n v="0"/>
    <x v="1"/>
    <n v="146"/>
    <n v="0"/>
    <x v="0"/>
    <n v="1.8"/>
    <n v="2"/>
    <n v="3"/>
    <n v="7"/>
    <x v="0"/>
    <x v="1"/>
  </r>
  <r>
    <n v="62"/>
    <x v="0"/>
    <n v="0"/>
    <x v="1"/>
    <n v="4"/>
    <x v="0"/>
    <n v="160"/>
    <x v="3"/>
    <n v="164"/>
    <x v="1"/>
    <x v="0"/>
    <x v="0"/>
    <n v="2"/>
    <x v="0"/>
    <n v="145"/>
    <n v="0"/>
    <x v="0"/>
    <n v="6.2"/>
    <n v="3"/>
    <n v="3"/>
    <n v="7"/>
    <x v="0"/>
    <x v="0"/>
  </r>
  <r>
    <n v="53"/>
    <x v="1"/>
    <n v="0"/>
    <x v="1"/>
    <n v="4"/>
    <x v="0"/>
    <n v="138"/>
    <x v="2"/>
    <n v="234"/>
    <x v="1"/>
    <x v="0"/>
    <x v="0"/>
    <n v="2"/>
    <x v="0"/>
    <n v="160"/>
    <n v="0"/>
    <x v="0"/>
    <n v="0"/>
    <n v="1"/>
    <n v="0"/>
    <n v="3"/>
    <x v="0"/>
    <x v="1"/>
  </r>
  <r>
    <n v="43"/>
    <x v="3"/>
    <n v="1"/>
    <x v="0"/>
    <n v="4"/>
    <x v="0"/>
    <n v="120"/>
    <x v="1"/>
    <n v="177"/>
    <x v="1"/>
    <x v="0"/>
    <x v="0"/>
    <n v="2"/>
    <x v="0"/>
    <n v="120"/>
    <n v="1"/>
    <x v="1"/>
    <n v="2.5"/>
    <n v="2"/>
    <n v="0"/>
    <n v="7"/>
    <x v="0"/>
    <x v="0"/>
  </r>
  <r>
    <n v="47"/>
    <x v="3"/>
    <n v="1"/>
    <x v="0"/>
    <n v="3"/>
    <x v="1"/>
    <n v="138"/>
    <x v="2"/>
    <n v="257"/>
    <x v="0"/>
    <x v="0"/>
    <x v="0"/>
    <n v="2"/>
    <x v="0"/>
    <n v="156"/>
    <n v="0"/>
    <x v="0"/>
    <n v="0"/>
    <n v="1"/>
    <n v="0"/>
    <n v="3"/>
    <x v="0"/>
    <x v="1"/>
  </r>
  <r>
    <n v="52"/>
    <x v="1"/>
    <n v="1"/>
    <x v="0"/>
    <n v="2"/>
    <x v="2"/>
    <n v="120"/>
    <x v="1"/>
    <n v="325"/>
    <x v="0"/>
    <x v="0"/>
    <x v="0"/>
    <n v="0"/>
    <x v="1"/>
    <n v="172"/>
    <n v="0"/>
    <x v="0"/>
    <n v="0.2"/>
    <n v="1"/>
    <n v="0"/>
    <n v="3"/>
    <x v="0"/>
    <x v="1"/>
  </r>
  <r>
    <n v="68"/>
    <x v="0"/>
    <n v="1"/>
    <x v="0"/>
    <n v="3"/>
    <x v="1"/>
    <n v="180"/>
    <x v="3"/>
    <n v="274"/>
    <x v="0"/>
    <x v="1"/>
    <x v="1"/>
    <n v="2"/>
    <x v="0"/>
    <n v="150"/>
    <n v="1"/>
    <x v="1"/>
    <n v="1.6"/>
    <n v="2"/>
    <n v="0"/>
    <n v="7"/>
    <x v="0"/>
    <x v="0"/>
  </r>
  <r>
    <n v="39"/>
    <x v="4"/>
    <n v="1"/>
    <x v="0"/>
    <n v="3"/>
    <x v="1"/>
    <n v="140"/>
    <x v="2"/>
    <n v="321"/>
    <x v="0"/>
    <x v="0"/>
    <x v="0"/>
    <n v="2"/>
    <x v="0"/>
    <n v="182"/>
    <n v="0"/>
    <x v="0"/>
    <n v="0"/>
    <n v="1"/>
    <n v="0"/>
    <n v="3"/>
    <x v="0"/>
    <x v="1"/>
  </r>
  <r>
    <n v="53"/>
    <x v="1"/>
    <n v="0"/>
    <x v="1"/>
    <n v="4"/>
    <x v="0"/>
    <n v="130"/>
    <x v="0"/>
    <n v="264"/>
    <x v="0"/>
    <x v="0"/>
    <x v="0"/>
    <n v="2"/>
    <x v="0"/>
    <n v="143"/>
    <n v="0"/>
    <x v="0"/>
    <n v="0.4"/>
    <n v="2"/>
    <n v="0"/>
    <n v="3"/>
    <x v="0"/>
    <x v="1"/>
  </r>
  <r>
    <n v="62"/>
    <x v="0"/>
    <n v="0"/>
    <x v="1"/>
    <n v="4"/>
    <x v="0"/>
    <n v="140"/>
    <x v="2"/>
    <n v="268"/>
    <x v="0"/>
    <x v="0"/>
    <x v="0"/>
    <n v="2"/>
    <x v="0"/>
    <n v="160"/>
    <n v="0"/>
    <x v="0"/>
    <n v="3.6"/>
    <n v="3"/>
    <n v="2"/>
    <n v="3"/>
    <x v="0"/>
    <x v="0"/>
  </r>
  <r>
    <n v="51"/>
    <x v="1"/>
    <n v="0"/>
    <x v="1"/>
    <n v="3"/>
    <x v="1"/>
    <n v="140"/>
    <x v="2"/>
    <n v="308"/>
    <x v="0"/>
    <x v="0"/>
    <x v="0"/>
    <n v="2"/>
    <x v="0"/>
    <n v="142"/>
    <n v="0"/>
    <x v="0"/>
    <n v="1.5"/>
    <n v="1"/>
    <n v="1"/>
    <n v="3"/>
    <x v="0"/>
    <x v="1"/>
  </r>
  <r>
    <n v="60"/>
    <x v="1"/>
    <n v="1"/>
    <x v="0"/>
    <n v="4"/>
    <x v="0"/>
    <n v="130"/>
    <x v="0"/>
    <n v="253"/>
    <x v="0"/>
    <x v="0"/>
    <x v="0"/>
    <n v="0"/>
    <x v="1"/>
    <n v="144"/>
    <n v="1"/>
    <x v="1"/>
    <n v="1.4"/>
    <n v="1"/>
    <n v="1"/>
    <n v="7"/>
    <x v="0"/>
    <x v="0"/>
  </r>
  <r>
    <n v="65"/>
    <x v="0"/>
    <n v="1"/>
    <x v="0"/>
    <n v="4"/>
    <x v="0"/>
    <n v="110"/>
    <x v="1"/>
    <n v="248"/>
    <x v="0"/>
    <x v="0"/>
    <x v="0"/>
    <n v="2"/>
    <x v="0"/>
    <n v="158"/>
    <n v="0"/>
    <x v="0"/>
    <n v="0.6"/>
    <n v="1"/>
    <n v="2"/>
    <n v="6"/>
    <x v="0"/>
    <x v="0"/>
  </r>
  <r>
    <n v="65"/>
    <x v="0"/>
    <n v="0"/>
    <x v="1"/>
    <n v="3"/>
    <x v="1"/>
    <n v="155"/>
    <x v="3"/>
    <n v="269"/>
    <x v="0"/>
    <x v="0"/>
    <x v="0"/>
    <n v="0"/>
    <x v="1"/>
    <n v="148"/>
    <n v="0"/>
    <x v="0"/>
    <n v="0.8"/>
    <n v="1"/>
    <n v="0"/>
    <n v="3"/>
    <x v="0"/>
    <x v="1"/>
  </r>
  <r>
    <n v="60"/>
    <x v="1"/>
    <n v="1"/>
    <x v="0"/>
    <n v="3"/>
    <x v="1"/>
    <n v="140"/>
    <x v="2"/>
    <n v="185"/>
    <x v="1"/>
    <x v="0"/>
    <x v="0"/>
    <n v="2"/>
    <x v="0"/>
    <n v="155"/>
    <n v="0"/>
    <x v="0"/>
    <n v="3"/>
    <n v="2"/>
    <n v="0"/>
    <n v="3"/>
    <x v="0"/>
    <x v="0"/>
  </r>
  <r>
    <n v="60"/>
    <x v="1"/>
    <n v="1"/>
    <x v="0"/>
    <n v="4"/>
    <x v="0"/>
    <n v="145"/>
    <x v="3"/>
    <n v="282"/>
    <x v="0"/>
    <x v="0"/>
    <x v="0"/>
    <n v="2"/>
    <x v="0"/>
    <n v="142"/>
    <n v="1"/>
    <x v="1"/>
    <n v="2.8"/>
    <n v="2"/>
    <n v="2"/>
    <n v="7"/>
    <x v="0"/>
    <x v="0"/>
  </r>
  <r>
    <n v="54"/>
    <x v="1"/>
    <n v="1"/>
    <x v="0"/>
    <n v="4"/>
    <x v="0"/>
    <n v="120"/>
    <x v="1"/>
    <n v="188"/>
    <x v="1"/>
    <x v="0"/>
    <x v="0"/>
    <n v="0"/>
    <x v="1"/>
    <n v="113"/>
    <n v="0"/>
    <x v="0"/>
    <n v="1.4"/>
    <n v="2"/>
    <n v="1"/>
    <n v="7"/>
    <x v="0"/>
    <x v="0"/>
  </r>
  <r>
    <n v="44"/>
    <x v="3"/>
    <n v="1"/>
    <x v="0"/>
    <n v="2"/>
    <x v="2"/>
    <n v="130"/>
    <x v="0"/>
    <n v="219"/>
    <x v="1"/>
    <x v="0"/>
    <x v="0"/>
    <n v="2"/>
    <x v="0"/>
    <n v="188"/>
    <n v="0"/>
    <x v="0"/>
    <n v="0"/>
    <n v="1"/>
    <n v="0"/>
    <n v="3"/>
    <x v="0"/>
    <x v="1"/>
  </r>
  <r>
    <n v="44"/>
    <x v="3"/>
    <n v="1"/>
    <x v="0"/>
    <n v="4"/>
    <x v="0"/>
    <n v="112"/>
    <x v="1"/>
    <n v="290"/>
    <x v="0"/>
    <x v="0"/>
    <x v="0"/>
    <n v="2"/>
    <x v="0"/>
    <n v="153"/>
    <n v="0"/>
    <x v="0"/>
    <n v="0"/>
    <n v="1"/>
    <n v="1"/>
    <n v="3"/>
    <x v="0"/>
    <x v="0"/>
  </r>
  <r>
    <n v="51"/>
    <x v="1"/>
    <n v="1"/>
    <x v="0"/>
    <n v="3"/>
    <x v="1"/>
    <n v="110"/>
    <x v="1"/>
    <n v="175"/>
    <x v="1"/>
    <x v="0"/>
    <x v="0"/>
    <n v="0"/>
    <x v="1"/>
    <n v="123"/>
    <n v="0"/>
    <x v="0"/>
    <n v="0.6"/>
    <n v="1"/>
    <n v="0"/>
    <n v="3"/>
    <x v="1"/>
    <x v="1"/>
  </r>
  <r>
    <n v="59"/>
    <x v="1"/>
    <n v="1"/>
    <x v="0"/>
    <n v="3"/>
    <x v="1"/>
    <n v="150"/>
    <x v="3"/>
    <n v="212"/>
    <x v="1"/>
    <x v="1"/>
    <x v="1"/>
    <n v="0"/>
    <x v="1"/>
    <n v="157"/>
    <n v="0"/>
    <x v="0"/>
    <n v="1.6"/>
    <n v="1"/>
    <n v="0"/>
    <n v="3"/>
    <x v="0"/>
    <x v="1"/>
  </r>
  <r>
    <n v="71"/>
    <x v="2"/>
    <n v="0"/>
    <x v="1"/>
    <n v="2"/>
    <x v="2"/>
    <n v="160"/>
    <x v="3"/>
    <n v="302"/>
    <x v="0"/>
    <x v="0"/>
    <x v="0"/>
    <n v="0"/>
    <x v="1"/>
    <n v="162"/>
    <n v="0"/>
    <x v="0"/>
    <n v="0.4"/>
    <n v="1"/>
    <n v="2"/>
    <n v="3"/>
    <x v="0"/>
    <x v="1"/>
  </r>
  <r>
    <n v="61"/>
    <x v="0"/>
    <n v="1"/>
    <x v="0"/>
    <n v="3"/>
    <x v="1"/>
    <n v="150"/>
    <x v="3"/>
    <n v="243"/>
    <x v="0"/>
    <x v="1"/>
    <x v="1"/>
    <n v="0"/>
    <x v="1"/>
    <n v="137"/>
    <n v="1"/>
    <x v="1"/>
    <n v="1"/>
    <n v="2"/>
    <n v="0"/>
    <n v="3"/>
    <x v="0"/>
    <x v="1"/>
  </r>
  <r>
    <n v="55"/>
    <x v="1"/>
    <n v="1"/>
    <x v="0"/>
    <n v="4"/>
    <x v="0"/>
    <n v="132"/>
    <x v="2"/>
    <n v="353"/>
    <x v="0"/>
    <x v="0"/>
    <x v="0"/>
    <n v="0"/>
    <x v="1"/>
    <n v="132"/>
    <n v="1"/>
    <x v="1"/>
    <n v="1.2"/>
    <n v="2"/>
    <n v="1"/>
    <n v="7"/>
    <x v="0"/>
    <x v="0"/>
  </r>
  <r>
    <n v="64"/>
    <x v="0"/>
    <n v="1"/>
    <x v="0"/>
    <n v="3"/>
    <x v="1"/>
    <n v="140"/>
    <x v="2"/>
    <n v="335"/>
    <x v="0"/>
    <x v="0"/>
    <x v="0"/>
    <n v="0"/>
    <x v="1"/>
    <n v="158"/>
    <n v="0"/>
    <x v="0"/>
    <n v="0"/>
    <n v="1"/>
    <n v="0"/>
    <n v="3"/>
    <x v="0"/>
    <x v="0"/>
  </r>
  <r>
    <n v="43"/>
    <x v="3"/>
    <n v="1"/>
    <x v="0"/>
    <n v="4"/>
    <x v="0"/>
    <n v="150"/>
    <x v="3"/>
    <n v="247"/>
    <x v="0"/>
    <x v="0"/>
    <x v="0"/>
    <n v="0"/>
    <x v="1"/>
    <n v="171"/>
    <n v="0"/>
    <x v="0"/>
    <n v="1.5"/>
    <n v="1"/>
    <n v="0"/>
    <n v="3"/>
    <x v="0"/>
    <x v="1"/>
  </r>
  <r>
    <n v="58"/>
    <x v="1"/>
    <n v="0"/>
    <x v="1"/>
    <n v="3"/>
    <x v="1"/>
    <n v="120"/>
    <x v="1"/>
    <n v="340"/>
    <x v="0"/>
    <x v="0"/>
    <x v="0"/>
    <n v="0"/>
    <x v="1"/>
    <n v="172"/>
    <n v="0"/>
    <x v="0"/>
    <n v="0"/>
    <n v="1"/>
    <n v="0"/>
    <n v="3"/>
    <x v="0"/>
    <x v="1"/>
  </r>
  <r>
    <n v="60"/>
    <x v="1"/>
    <n v="1"/>
    <x v="0"/>
    <n v="4"/>
    <x v="0"/>
    <n v="130"/>
    <x v="0"/>
    <n v="206"/>
    <x v="1"/>
    <x v="0"/>
    <x v="0"/>
    <n v="2"/>
    <x v="0"/>
    <n v="132"/>
    <n v="1"/>
    <x v="1"/>
    <n v="2.4"/>
    <n v="2"/>
    <n v="2"/>
    <n v="7"/>
    <x v="0"/>
    <x v="0"/>
  </r>
  <r>
    <n v="58"/>
    <x v="1"/>
    <n v="1"/>
    <x v="0"/>
    <n v="2"/>
    <x v="2"/>
    <n v="120"/>
    <x v="1"/>
    <n v="284"/>
    <x v="0"/>
    <x v="0"/>
    <x v="0"/>
    <n v="2"/>
    <x v="0"/>
    <n v="160"/>
    <n v="0"/>
    <x v="0"/>
    <n v="1.8"/>
    <n v="2"/>
    <n v="0"/>
    <n v="3"/>
    <x v="0"/>
    <x v="0"/>
  </r>
  <r>
    <n v="49"/>
    <x v="3"/>
    <n v="1"/>
    <x v="0"/>
    <n v="2"/>
    <x v="2"/>
    <n v="130"/>
    <x v="0"/>
    <n v="266"/>
    <x v="0"/>
    <x v="0"/>
    <x v="0"/>
    <n v="0"/>
    <x v="1"/>
    <n v="171"/>
    <n v="0"/>
    <x v="0"/>
    <n v="0.6"/>
    <n v="1"/>
    <n v="0"/>
    <n v="3"/>
    <x v="0"/>
    <x v="1"/>
  </r>
  <r>
    <n v="48"/>
    <x v="3"/>
    <n v="1"/>
    <x v="0"/>
    <n v="2"/>
    <x v="2"/>
    <n v="110"/>
    <x v="1"/>
    <n v="229"/>
    <x v="1"/>
    <x v="0"/>
    <x v="0"/>
    <n v="0"/>
    <x v="1"/>
    <n v="168"/>
    <n v="0"/>
    <x v="0"/>
    <n v="1"/>
    <n v="3"/>
    <n v="0"/>
    <n v="7"/>
    <x v="0"/>
    <x v="0"/>
  </r>
  <r>
    <n v="52"/>
    <x v="1"/>
    <n v="1"/>
    <x v="0"/>
    <n v="3"/>
    <x v="1"/>
    <n v="172"/>
    <x v="3"/>
    <n v="199"/>
    <x v="1"/>
    <x v="1"/>
    <x v="1"/>
    <n v="0"/>
    <x v="1"/>
    <n v="162"/>
    <n v="0"/>
    <x v="0"/>
    <n v="0.5"/>
    <n v="1"/>
    <n v="0"/>
    <n v="7"/>
    <x v="0"/>
    <x v="1"/>
  </r>
  <r>
    <n v="44"/>
    <x v="3"/>
    <n v="1"/>
    <x v="0"/>
    <n v="2"/>
    <x v="2"/>
    <n v="120"/>
    <x v="1"/>
    <n v="263"/>
    <x v="0"/>
    <x v="0"/>
    <x v="0"/>
    <n v="0"/>
    <x v="1"/>
    <n v="173"/>
    <n v="0"/>
    <x v="0"/>
    <n v="0"/>
    <n v="1"/>
    <n v="0"/>
    <n v="7"/>
    <x v="0"/>
    <x v="1"/>
  </r>
  <r>
    <n v="56"/>
    <x v="1"/>
    <n v="0"/>
    <x v="1"/>
    <n v="2"/>
    <x v="2"/>
    <n v="140"/>
    <x v="2"/>
    <n v="294"/>
    <x v="0"/>
    <x v="0"/>
    <x v="0"/>
    <n v="2"/>
    <x v="0"/>
    <n v="153"/>
    <n v="0"/>
    <x v="0"/>
    <n v="1.3"/>
    <n v="2"/>
    <n v="0"/>
    <n v="3"/>
    <x v="0"/>
    <x v="1"/>
  </r>
  <r>
    <n v="57"/>
    <x v="1"/>
    <n v="1"/>
    <x v="0"/>
    <n v="4"/>
    <x v="0"/>
    <n v="140"/>
    <x v="2"/>
    <n v="192"/>
    <x v="1"/>
    <x v="0"/>
    <x v="0"/>
    <n v="0"/>
    <x v="1"/>
    <n v="148"/>
    <n v="0"/>
    <x v="0"/>
    <n v="0.4"/>
    <n v="2"/>
    <n v="0"/>
    <n v="6"/>
    <x v="0"/>
    <x v="1"/>
  </r>
  <r>
    <n v="67"/>
    <x v="0"/>
    <n v="1"/>
    <x v="0"/>
    <n v="4"/>
    <x v="0"/>
    <n v="160"/>
    <x v="3"/>
    <n v="286"/>
    <x v="0"/>
    <x v="0"/>
    <x v="0"/>
    <n v="2"/>
    <x v="0"/>
    <n v="108"/>
    <n v="1"/>
    <x v="1"/>
    <n v="1.5"/>
    <n v="2"/>
    <n v="3"/>
    <n v="3"/>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F1920F-764A-424F-9A98-CBA1FFFA9A7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F6" firstHeaderRow="1" firstDataRow="2" firstDataCol="1"/>
  <pivotFields count="23">
    <pivotField dataField="1" showAll="0"/>
    <pivotField showAll="0"/>
    <pivotField showAll="0"/>
    <pivotField showAll="0"/>
    <pivotField showAll="0"/>
    <pivotField axis="axisCol"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h="1" x="1"/>
        <item x="0"/>
        <item t="default"/>
      </items>
    </pivotField>
  </pivotFields>
  <rowFields count="1">
    <field x="22"/>
  </rowFields>
  <rowItems count="2">
    <i>
      <x v="1"/>
    </i>
    <i t="grand">
      <x/>
    </i>
  </rowItems>
  <colFields count="1">
    <field x="5"/>
  </colFields>
  <colItems count="5">
    <i>
      <x/>
    </i>
    <i>
      <x v="1"/>
    </i>
    <i>
      <x v="2"/>
    </i>
    <i>
      <x v="3"/>
    </i>
    <i t="grand">
      <x/>
    </i>
  </colItems>
  <dataFields count="1">
    <dataField name="Count of Age" fld="0" subtotal="count" baseField="22" baseItem="0"/>
  </dataFields>
  <chartFormats count="4">
    <chartFormat chart="1" format="4" series="1">
      <pivotArea type="data" outline="0" fieldPosition="0">
        <references count="2">
          <reference field="4294967294" count="1" selected="0">
            <x v="0"/>
          </reference>
          <reference field="5" count="1" selected="0">
            <x v="0"/>
          </reference>
        </references>
      </pivotArea>
    </chartFormat>
    <chartFormat chart="1" format="5" series="1">
      <pivotArea type="data" outline="0" fieldPosition="0">
        <references count="2">
          <reference field="4294967294" count="1" selected="0">
            <x v="0"/>
          </reference>
          <reference field="5" count="1" selected="0">
            <x v="1"/>
          </reference>
        </references>
      </pivotArea>
    </chartFormat>
    <chartFormat chart="1" format="6" series="1">
      <pivotArea type="data" outline="0" fieldPosition="0">
        <references count="2">
          <reference field="4294967294" count="1" selected="0">
            <x v="0"/>
          </reference>
          <reference field="5" count="1" selected="0">
            <x v="2"/>
          </reference>
        </references>
      </pivotArea>
    </chartFormat>
    <chartFormat chart="1" format="7"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E16195-AF87-4897-BA5E-BFF69AD1BE3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s>
  <rowFields count="1">
    <field x="22"/>
  </rowFields>
  <rowItems count="3">
    <i>
      <x/>
    </i>
    <i>
      <x v="1"/>
    </i>
    <i t="grand">
      <x/>
    </i>
  </rowItems>
  <colItems count="1">
    <i/>
  </colItems>
  <dataFields count="1">
    <dataField name="Count of Age" fld="0" subtotal="count" baseField="16" baseItem="0"/>
  </dataFields>
  <chartFormats count="3">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22" count="1" selected="0">
            <x v="0"/>
          </reference>
        </references>
      </pivotArea>
    </chartFormat>
    <chartFormat chart="7" format="3">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B890E2-1A0F-48D6-B656-44BD9D8F55E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1" firstHeaderRow="1" firstDataRow="2" firstDataCol="1"/>
  <pivotFields count="23">
    <pivotField dataField="1" showAll="0"/>
    <pivotField axis="axisRow" showAll="0">
      <items count="7">
        <item x="4"/>
        <item x="3"/>
        <item x="1"/>
        <item x="0"/>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s>
  <rowFields count="1">
    <field x="1"/>
  </rowFields>
  <rowItems count="7">
    <i>
      <x/>
    </i>
    <i>
      <x v="1"/>
    </i>
    <i>
      <x v="2"/>
    </i>
    <i>
      <x v="3"/>
    </i>
    <i>
      <x v="4"/>
    </i>
    <i>
      <x v="5"/>
    </i>
    <i t="grand">
      <x/>
    </i>
  </rowItems>
  <colFields count="1">
    <field x="22"/>
  </colFields>
  <colItems count="3">
    <i>
      <x/>
    </i>
    <i>
      <x v="1"/>
    </i>
    <i t="grand">
      <x/>
    </i>
  </colItems>
  <dataFields count="1">
    <dataField name="Count of Age"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13A416-EB67-4B5A-9280-8DC878BD398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7" firstHeaderRow="1" firstDataRow="2" firstDataCol="1" rowPageCount="1" colPageCount="1"/>
  <pivotFields count="23">
    <pivotField dataField="1" showAll="0"/>
    <pivotField showAll="0"/>
    <pivotField showAll="0"/>
    <pivotField axis="axisRow" showAll="0">
      <items count="3">
        <item x="1"/>
        <item x="0"/>
        <item t="default"/>
      </items>
    </pivotField>
    <pivotField showAll="0"/>
    <pivotField axis="axisCol" showAll="0">
      <items count="5">
        <item x="0"/>
        <item x="2"/>
        <item x="1"/>
        <item x="3"/>
        <item t="default"/>
      </items>
    </pivotField>
    <pivotField showAll="0"/>
    <pivotField showAll="0"/>
    <pivotField showAll="0"/>
    <pivotField showAll="0"/>
    <pivotField axis="axisPage"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Fields count="1">
    <field x="5"/>
  </colFields>
  <colItems count="5">
    <i>
      <x/>
    </i>
    <i>
      <x v="1"/>
    </i>
    <i>
      <x v="2"/>
    </i>
    <i>
      <x v="3"/>
    </i>
    <i t="grand">
      <x/>
    </i>
  </colItems>
  <pageFields count="1">
    <pageField fld="10" hier="-1"/>
  </pageFields>
  <dataFields count="1">
    <dataField name="Count of Age"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89A291-333E-4B6A-B935-BE771093964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s>
  <rowFields count="1">
    <field x="21"/>
  </rowFields>
  <rowItems count="3">
    <i>
      <x/>
    </i>
    <i>
      <x v="1"/>
    </i>
    <i t="grand">
      <x/>
    </i>
  </rowItems>
  <colItems count="1">
    <i/>
  </colItems>
  <dataFields count="1">
    <dataField name="Count of Age" fld="0" subtotal="count" baseField="1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69F8AA-C834-4964-9A58-270E9C94C09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9" firstHeaderRow="1" firstDataRow="2" firstDataCol="1"/>
  <pivotFields count="23">
    <pivotField dataField="1" showAll="0"/>
    <pivotField showAll="0"/>
    <pivotField showAll="0"/>
    <pivotField showAll="0"/>
    <pivotField showAll="0"/>
    <pivotField showAll="0"/>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h="1" x="1"/>
        <item x="0"/>
        <item t="default"/>
      </items>
    </pivotField>
  </pivotFields>
  <rowFields count="1">
    <field x="7"/>
  </rowFields>
  <rowItems count="5">
    <i>
      <x/>
    </i>
    <i>
      <x v="1"/>
    </i>
    <i>
      <x v="2"/>
    </i>
    <i>
      <x v="3"/>
    </i>
    <i t="grand">
      <x/>
    </i>
  </rowItems>
  <colFields count="1">
    <field x="22"/>
  </colFields>
  <colItems count="2">
    <i>
      <x v="1"/>
    </i>
    <i t="grand">
      <x/>
    </i>
  </colItems>
  <dataFields count="1">
    <dataField name="Count of Age" fld="0" subtotal="count" baseField="6" baseItem="0"/>
  </dataFields>
  <chartFormats count="2">
    <chartFormat chart="1" format="2" series="1">
      <pivotArea type="data" outline="0" fieldPosition="0">
        <references count="2">
          <reference field="4294967294" count="1" selected="0">
            <x v="0"/>
          </reference>
          <reference field="22" count="1" selected="0">
            <x v="0"/>
          </reference>
        </references>
      </pivotArea>
    </chartFormat>
    <chartFormat chart="1" format="3"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140DFA-427A-4522-9065-228E475E0CE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8" firstHeaderRow="1" firstDataRow="2" firstDataCol="1" rowPageCount="2" colPageCount="1"/>
  <pivotFields count="23">
    <pivotField dataField="1" showAll="0"/>
    <pivotField multipleItemSelectionAllowed="1" showAll="0"/>
    <pivotField multipleItemSelectionAllowed="1" showAll="0"/>
    <pivotField axis="axisCol" multipleItemSelectionAllowed="1" showAll="0">
      <items count="3">
        <item x="1"/>
        <item x="0"/>
        <item t="default"/>
      </items>
    </pivotField>
    <pivotField showAll="0"/>
    <pivotField showAll="0"/>
    <pivotField showAll="0"/>
    <pivotField axis="axisPage" multipleItemSelectionAllowed="1" showAll="0">
      <items count="5">
        <item h="1" x="2"/>
        <item h="1" x="1"/>
        <item x="0"/>
        <item h="1" x="3"/>
        <item t="default"/>
      </items>
    </pivotField>
    <pivotField showAll="0"/>
    <pivotField showAll="0"/>
    <pivotField multipleItemSelectionAllowed="1" showAll="0">
      <items count="3">
        <item x="0"/>
        <item x="1"/>
        <item t="default"/>
      </items>
    </pivotField>
    <pivotField axis="axisPage" multipleItemSelectionAllowed="1" showAll="0">
      <items count="3">
        <item x="1"/>
        <item h="1" x="0"/>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s>
  <rowFields count="1">
    <field x="22"/>
  </rowFields>
  <rowItems count="3">
    <i>
      <x/>
    </i>
    <i>
      <x v="1"/>
    </i>
    <i t="grand">
      <x/>
    </i>
  </rowItems>
  <colFields count="1">
    <field x="3"/>
  </colFields>
  <colItems count="2">
    <i>
      <x v="1"/>
    </i>
    <i t="grand">
      <x/>
    </i>
  </colItems>
  <pageFields count="2">
    <pageField fld="7" hier="-1"/>
    <pageField fld="11" hier="-1"/>
  </pageFields>
  <dataFields count="1">
    <dataField name="Count of Age"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53542C-9664-4703-A9DD-3A959945F1A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 firstHeaderRow="1" firstDataRow="2" firstDataCol="1"/>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axis="axisRow" showAll="0">
      <items count="3">
        <item x="1"/>
        <item x="0"/>
        <item t="default"/>
      </items>
    </pivotField>
  </pivotFields>
  <rowFields count="1">
    <field x="22"/>
  </rowFields>
  <rowItems count="3">
    <i>
      <x/>
    </i>
    <i>
      <x v="1"/>
    </i>
    <i t="grand">
      <x/>
    </i>
  </rowItems>
  <colFields count="1">
    <field x="13"/>
  </colFields>
  <colItems count="3">
    <i>
      <x/>
    </i>
    <i>
      <x v="1"/>
    </i>
    <i t="grand">
      <x/>
    </i>
  </colItems>
  <dataFields count="1">
    <dataField name="Count of Age" fld="0" subtotal="count" baseField="2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CCDBF89-7CCF-43F2-99DA-ABAB74E0185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7" firstHeaderRow="1" firstDataRow="2" firstDataCol="1"/>
  <pivotFields count="23">
    <pivotField dataField="1"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h="1" x="1"/>
        <item x="0"/>
        <item t="default"/>
      </items>
    </pivotField>
  </pivotFields>
  <rowFields count="1">
    <field x="9"/>
  </rowFields>
  <rowItems count="3">
    <i>
      <x/>
    </i>
    <i>
      <x v="1"/>
    </i>
    <i t="grand">
      <x/>
    </i>
  </rowItems>
  <colFields count="1">
    <field x="22"/>
  </colFields>
  <colItems count="2">
    <i>
      <x v="1"/>
    </i>
    <i t="grand">
      <x/>
    </i>
  </colItems>
  <dataFields count="1">
    <dataField name="Count of Age" fld="0" subtotal="count" baseField="22" baseItem="0"/>
  </dataFields>
  <chartFormats count="1">
    <chartFormat chart="3" format="2"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8F4327C-3DC6-4D1A-BB12-246AE0F7599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7" firstHeaderRow="1" firstDataRow="2" firstDataCol="1"/>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axis="axisCol" showAll="0">
      <items count="3">
        <item h="1" x="1"/>
        <item x="0"/>
        <item t="default"/>
      </items>
    </pivotField>
  </pivotFields>
  <rowFields count="1">
    <field x="16"/>
  </rowFields>
  <rowItems count="3">
    <i>
      <x/>
    </i>
    <i>
      <x v="1"/>
    </i>
    <i t="grand">
      <x/>
    </i>
  </rowItems>
  <colFields count="1">
    <field x="22"/>
  </colFields>
  <colItems count="2">
    <i>
      <x v="1"/>
    </i>
    <i t="grand">
      <x/>
    </i>
  </colItems>
  <dataFields count="1">
    <dataField name="Count of Age" fld="0" subtotal="count" baseField="0" baseItem="0"/>
  </dataFields>
  <chartFormats count="1">
    <chartFormat chart="1" format="2"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009F8A7-7E22-4B32-BBA4-E48B84FAA07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s>
  <rowFields count="1">
    <field x="21"/>
  </rowFields>
  <rowItems count="3">
    <i>
      <x/>
    </i>
    <i>
      <x v="1"/>
    </i>
    <i t="grand">
      <x/>
    </i>
  </rowItems>
  <colItems count="1">
    <i/>
  </colItems>
  <dataFields count="1">
    <dataField name="Count of Age" fld="0" subtotal="count" showDataAs="percentOfTotal" baseField="2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39D2026-1926-45F1-9200-4373DDE3EC6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s>
  <rowFields count="1">
    <field x="22"/>
  </rowFields>
  <rowItems count="3">
    <i>
      <x/>
    </i>
    <i>
      <x v="1"/>
    </i>
    <i t="grand">
      <x/>
    </i>
  </rowItems>
  <colItems count="1">
    <i/>
  </colItems>
  <dataFields count="1">
    <dataField name="Count of Age" fld="0" subtotal="count" showDataAs="percentOfTotal" baseField="2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C288DCC-D106-434B-80E1-8C8333E7939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6" firstHeaderRow="1" firstDataRow="2" firstDataCol="1"/>
  <pivotFields count="23">
    <pivotField dataField="1"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h="1" x="1"/>
        <item x="0"/>
        <item t="default"/>
      </items>
    </pivotField>
  </pivotFields>
  <rowFields count="1">
    <field x="22"/>
  </rowFields>
  <rowItems count="2">
    <i>
      <x v="1"/>
    </i>
    <i t="grand">
      <x/>
    </i>
  </rowItems>
  <colFields count="1">
    <field x="3"/>
  </colFields>
  <colItems count="3">
    <i>
      <x/>
    </i>
    <i>
      <x v="1"/>
    </i>
    <i t="grand">
      <x/>
    </i>
  </colItems>
  <dataFields count="1">
    <dataField name="Count of Age" fld="0" subtotal="count" baseField="22" baseItem="0"/>
  </dataFields>
  <chartFormats count="2">
    <chartFormat chart="3" format="2" series="1">
      <pivotArea type="data" outline="0" fieldPosition="0">
        <references count="2">
          <reference field="4294967294" count="1" selected="0">
            <x v="0"/>
          </reference>
          <reference field="3" count="1" selected="0">
            <x v="0"/>
          </reference>
        </references>
      </pivotArea>
    </chartFormat>
    <chartFormat chart="3" format="3"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733781-38CE-47AD-98E7-69BFA5F4215D}" name="Table2" displayName="Table2" ref="A1:W271" totalsRowShown="0" headerRowDxfId="24" dataDxfId="23">
  <autoFilter ref="A1:W271" xr:uid="{62733781-38CE-47AD-98E7-69BFA5F4215D}"/>
  <tableColumns count="23">
    <tableColumn id="1" xr3:uid="{7220B11A-81B6-4178-88E2-9391F94984FD}" name="Age" dataDxfId="22"/>
    <tableColumn id="15" xr3:uid="{9063BFBF-0ACB-44B6-98DC-945D3F482022}" name="Age Group" dataDxfId="21">
      <calculatedColumnFormula>IF(A2&lt;=30, "Under 30", IF(A2&lt;=40, "31-40", IF(A2&lt;=50, "41-50", IF(A2&lt;=60, "51-60", IF(A2&lt;=70, "61-70", IF(A2&lt;=80, "71-80", "Above 80"))))))</calculatedColumnFormula>
    </tableColumn>
    <tableColumn id="2" xr3:uid="{4D6A43A9-692F-4C5C-A3D4-BBAF2736DEF0}" name="Sex" dataDxfId="20"/>
    <tableColumn id="17" xr3:uid="{2C9527A9-8B49-4FFE-81B2-2F533DF14955}" name="Gender Label" dataDxfId="19">
      <calculatedColumnFormula>IF(Table2[[#This Row],[Sex]]=1,"Male", "Female")</calculatedColumnFormula>
    </tableColumn>
    <tableColumn id="3" xr3:uid="{F73E0189-36AF-4839-9FCD-82FB5C466C09}" name="Chest pain level" dataDxfId="18"/>
    <tableColumn id="19" xr3:uid="{1A431DD5-70D8-4A6A-9117-F20616D6F5F7}" name="Chest Pain Type" dataDxfId="17">
      <calculatedColumnFormula>IF(Table2[[#This Row],[Chest pain level]]=1, "Typical Angina", IF(Table2[[#This Row],[Chest pain level]]=2, "Atypical Angina", IF(Table2[[#This Row],[Chest pain level]]=3, "Non Anginal Pain", IF(Table2[[#This Row],[Chest pain level]]=4, "Asymptomatic"))))</calculatedColumnFormula>
    </tableColumn>
    <tableColumn id="4" xr3:uid="{2FE67A10-1D93-4080-B680-B2A2D8621A7B}" name="BP" dataDxfId="16"/>
    <tableColumn id="18" xr3:uid="{0EB2E8C1-BDD4-4C81-B28C-DE6FBAFAC52C}" name="BP Category" dataDxfId="15">
      <calculatedColumnFormula>IF(Table2[[#This Row],[BP]]&lt;=120, "Normal",  IF(Table2[[#This Row],[BP]]&lt;=130, "Slightly Elevated", IF(Table2[[#This Row],[BP]]&lt;=140, "High", "Very High")))</calculatedColumnFormula>
    </tableColumn>
    <tableColumn id="5" xr3:uid="{0F3CA08A-9309-461D-AA7F-A70C64EC45A4}" name="Cholesterol" dataDxfId="14"/>
    <tableColumn id="22" xr3:uid="{99C7BFB7-682F-4A4B-A42B-0061F3E52566}" name="Cholesterol Level" dataDxfId="13">
      <calculatedColumnFormula>IF(Table2[[#This Row],[Cholesterol]]&gt;=240, "High", "Normal")</calculatedColumnFormula>
    </tableColumn>
    <tableColumn id="6" xr3:uid="{DBB972E0-26D3-4A6A-B32C-BD39FE6BEA2B}" name="FBS over 120" dataDxfId="12"/>
    <tableColumn id="21" xr3:uid="{3511BB35-2B03-40E1-A70B-3566299D1C29}" name="Diabetes Indicator" dataDxfId="11">
      <calculatedColumnFormula>IF(Table2[[#This Row],[FBS over 120]]=0, "Normal", "High")</calculatedColumnFormula>
    </tableColumn>
    <tableColumn id="7" xr3:uid="{229F2E8A-B387-4F2F-A52D-6A7198E310C4}" name="EKG results" dataDxfId="10"/>
    <tableColumn id="23" xr3:uid="{EA75C164-76DF-4F97-8B45-D52F1CE163D6}" name="EKG Result `Flag" dataDxfId="9">
      <calculatedColumnFormula>IF(Table2[[#This Row],[EKG results]]=0, "Normal", "Abnormal")</calculatedColumnFormula>
    </tableColumn>
    <tableColumn id="8" xr3:uid="{A5C62FFC-D495-4451-A380-D90776E10524}" name="Max HR" dataDxfId="8"/>
    <tableColumn id="9" xr3:uid="{38DE15A8-BEB4-4962-9C00-602815D97CAB}" name="Exercise angina" dataDxfId="7"/>
    <tableColumn id="24" xr3:uid="{DD7658DC-C152-4E19-A709-99F1F63A7558}" name="Exercise Angina Flag" dataDxfId="6">
      <calculatedColumnFormula>IF(Table2[[#This Row],[Exercise angina]]=0, "Normal", "Abnormal")</calculatedColumnFormula>
    </tableColumn>
    <tableColumn id="10" xr3:uid="{3A28F8FC-F2AD-48DF-A1C4-D7A65A606510}" name="ST depression" dataDxfId="5"/>
    <tableColumn id="11" xr3:uid="{8ECF0F64-10F6-4B73-9453-87A67DF18F4F}" name="Slope of ST" dataDxfId="4"/>
    <tableColumn id="12" xr3:uid="{E4CD1EE4-7685-4D7F-982E-8B371A5A243E}" name="Number of vessels fluro" dataDxfId="3"/>
    <tableColumn id="13" xr3:uid="{BDBF93DB-7A05-4619-993F-6250758FA79F}" name="Thallium" dataDxfId="2"/>
    <tableColumn id="16" xr3:uid="{B175A1AF-ADB1-436F-A2EA-90EB0E25491F}" name="At-Risk Status" dataDxfId="1">
      <calculatedColumnFormula>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calculatedColumnFormula>
    </tableColumn>
    <tableColumn id="14" xr3:uid="{A57D7EB9-A3D5-40FC-A531-68B99B07BB58}" name="Heart Disease"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56A1E-49B9-4FC0-A936-36D2DDC3849D}">
  <dimension ref="A1:S3"/>
  <sheetViews>
    <sheetView showGridLines="0" showRowColHeaders="0" workbookViewId="0">
      <selection activeCell="J12" sqref="J12"/>
    </sheetView>
  </sheetViews>
  <sheetFormatPr defaultRowHeight="14.5" x14ac:dyDescent="0.35"/>
  <sheetData>
    <row r="1" spans="1:19" ht="26" x14ac:dyDescent="0.6">
      <c r="J1" s="12" t="s">
        <v>16</v>
      </c>
    </row>
    <row r="2" spans="1:19" ht="18.5" x14ac:dyDescent="0.45">
      <c r="A2" s="13"/>
      <c r="B2" s="13" t="s">
        <v>17</v>
      </c>
      <c r="C2" s="13"/>
      <c r="D2" s="13"/>
      <c r="E2" s="13"/>
      <c r="F2" s="13"/>
      <c r="G2" s="13"/>
      <c r="H2" s="13"/>
      <c r="I2" s="13"/>
      <c r="J2" s="13"/>
      <c r="K2" s="13"/>
      <c r="L2" s="13"/>
      <c r="M2" s="13"/>
      <c r="N2" s="13"/>
      <c r="O2" s="13"/>
      <c r="P2" s="13"/>
      <c r="Q2" s="13"/>
      <c r="R2" s="13"/>
      <c r="S2" s="13"/>
    </row>
    <row r="3" spans="1:19" ht="18.5" x14ac:dyDescent="0.45">
      <c r="A3" s="13"/>
      <c r="B3" s="13" t="s">
        <v>18</v>
      </c>
      <c r="C3" s="13"/>
      <c r="D3" s="13"/>
      <c r="E3" s="13"/>
      <c r="F3" s="13"/>
      <c r="G3" s="13"/>
      <c r="H3" s="13"/>
      <c r="I3" s="13"/>
      <c r="J3" s="13"/>
      <c r="K3" s="13"/>
      <c r="L3" s="13"/>
      <c r="M3" s="13"/>
      <c r="N3" s="13"/>
      <c r="O3" s="13"/>
      <c r="P3" s="13"/>
      <c r="Q3" s="13"/>
      <c r="R3" s="13"/>
      <c r="S3" s="1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FAC27-F8B1-494F-A1B9-5BB228C8956E}">
  <dimension ref="B1:AA10"/>
  <sheetViews>
    <sheetView showGridLines="0" showRowColHeaders="0" workbookViewId="0">
      <selection activeCell="G1" sqref="G1"/>
    </sheetView>
  </sheetViews>
  <sheetFormatPr defaultRowHeight="14.5" x14ac:dyDescent="0.35"/>
  <sheetData>
    <row r="1" spans="2:27" ht="26" x14ac:dyDescent="0.6">
      <c r="G1" s="12" t="s">
        <v>25</v>
      </c>
    </row>
    <row r="2" spans="2:27" ht="18.5" x14ac:dyDescent="0.45">
      <c r="B2" s="13" t="s">
        <v>34</v>
      </c>
      <c r="C2" s="13"/>
      <c r="D2" s="13"/>
      <c r="E2" s="13"/>
      <c r="F2" s="13"/>
      <c r="G2" s="13"/>
      <c r="H2" s="13"/>
      <c r="I2" s="13"/>
      <c r="J2" s="13"/>
      <c r="K2" s="13"/>
      <c r="L2" s="13"/>
      <c r="M2" s="13"/>
      <c r="N2" s="13"/>
      <c r="O2" s="13"/>
      <c r="P2" s="13"/>
      <c r="Q2" s="13"/>
      <c r="R2" s="13"/>
      <c r="S2" s="13"/>
      <c r="T2" s="13"/>
      <c r="U2" s="13"/>
      <c r="V2" s="13"/>
      <c r="W2" s="13"/>
      <c r="X2" s="13"/>
      <c r="Y2" s="13"/>
      <c r="Z2" s="13"/>
      <c r="AA2" s="13"/>
    </row>
    <row r="3" spans="2:27" ht="18.5" x14ac:dyDescent="0.45">
      <c r="B3" s="13" t="s">
        <v>31</v>
      </c>
      <c r="C3" s="13"/>
      <c r="D3" s="13"/>
      <c r="E3" s="13"/>
      <c r="F3" s="13"/>
      <c r="G3" s="13"/>
      <c r="H3" s="13"/>
      <c r="I3" s="13"/>
      <c r="J3" s="13"/>
      <c r="K3" s="13"/>
      <c r="L3" s="13"/>
      <c r="M3" s="13"/>
      <c r="N3" s="13"/>
      <c r="O3" s="13"/>
      <c r="P3" s="13"/>
      <c r="Q3" s="13"/>
      <c r="R3" s="13"/>
      <c r="S3" s="13"/>
      <c r="T3" s="13"/>
      <c r="U3" s="13"/>
      <c r="V3" s="13"/>
      <c r="W3" s="13"/>
      <c r="X3" s="13"/>
      <c r="Y3" s="13"/>
      <c r="Z3" s="13"/>
      <c r="AA3" s="13"/>
    </row>
    <row r="4" spans="2:27" ht="18.5" x14ac:dyDescent="0.45">
      <c r="B4" s="13" t="s">
        <v>32</v>
      </c>
      <c r="C4" s="13"/>
      <c r="D4" s="13"/>
      <c r="E4" s="13"/>
      <c r="F4" s="13"/>
      <c r="G4" s="13"/>
      <c r="H4" s="13"/>
      <c r="I4" s="13"/>
      <c r="J4" s="13"/>
      <c r="K4" s="13"/>
      <c r="L4" s="13"/>
      <c r="M4" s="13"/>
      <c r="N4" s="13"/>
      <c r="O4" s="13"/>
      <c r="P4" s="13"/>
      <c r="Q4" s="13"/>
      <c r="R4" s="13"/>
      <c r="S4" s="13"/>
      <c r="T4" s="13"/>
      <c r="U4" s="13"/>
      <c r="V4" s="13"/>
      <c r="W4" s="13"/>
      <c r="X4" s="13"/>
      <c r="Y4" s="13"/>
      <c r="Z4" s="13"/>
      <c r="AA4" s="13"/>
    </row>
    <row r="5" spans="2:27" ht="18.5" x14ac:dyDescent="0.45">
      <c r="B5" s="13" t="s">
        <v>33</v>
      </c>
      <c r="C5" s="13"/>
      <c r="D5" s="13"/>
      <c r="E5" s="13"/>
      <c r="F5" s="13"/>
      <c r="G5" s="13"/>
      <c r="H5" s="13"/>
      <c r="I5" s="13"/>
      <c r="J5" s="13"/>
      <c r="K5" s="13"/>
      <c r="L5" s="13"/>
      <c r="M5" s="13"/>
      <c r="N5" s="13"/>
      <c r="O5" s="13"/>
      <c r="P5" s="13"/>
      <c r="Q5" s="13"/>
      <c r="R5" s="13"/>
      <c r="S5" s="13"/>
      <c r="T5" s="13"/>
      <c r="U5" s="13"/>
      <c r="V5" s="13"/>
      <c r="W5" s="13"/>
      <c r="X5" s="13"/>
      <c r="Y5" s="13"/>
      <c r="Z5" s="13"/>
      <c r="AA5" s="13"/>
    </row>
    <row r="6" spans="2:27" ht="18.5" x14ac:dyDescent="0.45">
      <c r="B6" s="13" t="s">
        <v>27</v>
      </c>
      <c r="C6" s="13"/>
      <c r="D6" s="13"/>
      <c r="E6" s="13"/>
      <c r="F6" s="13"/>
      <c r="G6" s="13"/>
      <c r="H6" s="13"/>
      <c r="I6" s="13"/>
      <c r="J6" s="13"/>
      <c r="K6" s="13"/>
      <c r="L6" s="13"/>
      <c r="M6" s="13"/>
      <c r="N6" s="13"/>
      <c r="O6" s="13"/>
      <c r="P6" s="13"/>
      <c r="Q6" s="13"/>
      <c r="R6" s="13"/>
      <c r="S6" s="13"/>
      <c r="T6" s="13"/>
      <c r="U6" s="13"/>
      <c r="V6" s="13"/>
      <c r="W6" s="13"/>
      <c r="X6" s="13"/>
      <c r="Y6" s="13"/>
      <c r="Z6" s="13"/>
      <c r="AA6" s="13"/>
    </row>
    <row r="7" spans="2:27" ht="18.5" x14ac:dyDescent="0.45">
      <c r="B7" s="13" t="s">
        <v>28</v>
      </c>
      <c r="C7" s="13"/>
      <c r="D7" s="13"/>
      <c r="E7" s="13"/>
      <c r="F7" s="13"/>
      <c r="G7" s="13"/>
      <c r="H7" s="13"/>
      <c r="I7" s="13"/>
      <c r="J7" s="13"/>
      <c r="K7" s="13"/>
      <c r="L7" s="13"/>
      <c r="M7" s="13"/>
      <c r="N7" s="13"/>
      <c r="O7" s="13"/>
      <c r="P7" s="13"/>
      <c r="Q7" s="13"/>
      <c r="R7" s="13"/>
      <c r="S7" s="13"/>
      <c r="T7" s="13"/>
      <c r="U7" s="13"/>
      <c r="V7" s="13"/>
      <c r="W7" s="13"/>
      <c r="X7" s="13"/>
      <c r="Y7" s="13"/>
      <c r="Z7" s="13"/>
      <c r="AA7" s="13"/>
    </row>
    <row r="8" spans="2:27" ht="18.5" x14ac:dyDescent="0.45">
      <c r="B8" s="13" t="s">
        <v>29</v>
      </c>
      <c r="C8" s="13"/>
      <c r="D8" s="13"/>
      <c r="E8" s="13"/>
      <c r="F8" s="13"/>
      <c r="G8" s="13"/>
      <c r="H8" s="13"/>
      <c r="I8" s="13"/>
      <c r="J8" s="13"/>
      <c r="K8" s="13"/>
      <c r="L8" s="13"/>
      <c r="M8" s="13"/>
      <c r="N8" s="13"/>
      <c r="O8" s="13"/>
      <c r="P8" s="13"/>
      <c r="Q8" s="13"/>
      <c r="R8" s="13"/>
      <c r="S8" s="13"/>
      <c r="T8" s="13"/>
      <c r="U8" s="13"/>
      <c r="V8" s="13"/>
      <c r="W8" s="13"/>
      <c r="X8" s="13"/>
      <c r="Y8" s="13"/>
      <c r="Z8" s="13"/>
      <c r="AA8" s="13"/>
    </row>
    <row r="9" spans="2:27" ht="18.5" x14ac:dyDescent="0.45">
      <c r="B9" s="13" t="s">
        <v>30</v>
      </c>
      <c r="C9" s="13"/>
      <c r="D9" s="13"/>
      <c r="E9" s="13"/>
      <c r="F9" s="13"/>
      <c r="G9" s="13"/>
      <c r="H9" s="13"/>
      <c r="I9" s="13"/>
      <c r="J9" s="13"/>
      <c r="K9" s="13"/>
      <c r="L9" s="13"/>
      <c r="M9" s="13"/>
      <c r="N9" s="13"/>
      <c r="O9" s="13"/>
      <c r="P9" s="13"/>
      <c r="Q9" s="13"/>
      <c r="R9" s="13"/>
      <c r="S9" s="13"/>
      <c r="T9" s="13"/>
      <c r="U9" s="13"/>
      <c r="V9" s="13"/>
      <c r="W9" s="13"/>
      <c r="X9" s="13"/>
      <c r="Y9" s="13"/>
      <c r="Z9" s="13"/>
      <c r="AA9" s="13"/>
    </row>
    <row r="10" spans="2:27" ht="18.5" x14ac:dyDescent="0.45">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6147A-C75B-4612-BE21-872AA68A5DF3}">
  <dimension ref="A1:S151"/>
  <sheetViews>
    <sheetView showGridLines="0" showRowColHeaders="0" topLeftCell="A68" workbookViewId="0">
      <selection activeCell="S17" sqref="S17"/>
    </sheetView>
  </sheetViews>
  <sheetFormatPr defaultRowHeight="14.5" x14ac:dyDescent="0.35"/>
  <cols>
    <col min="5" max="5" width="8.7265625" customWidth="1"/>
  </cols>
  <sheetData>
    <row r="1" spans="1:19" ht="26" x14ac:dyDescent="0.6">
      <c r="E1" s="14" t="s">
        <v>0</v>
      </c>
      <c r="F1" s="14"/>
      <c r="G1" s="14"/>
      <c r="H1" s="14"/>
      <c r="I1" s="14"/>
      <c r="J1" s="14"/>
    </row>
    <row r="2" spans="1:19" ht="21" x14ac:dyDescent="0.5">
      <c r="G2" s="7" t="s">
        <v>19</v>
      </c>
    </row>
    <row r="3" spans="1:19" ht="18.5" x14ac:dyDescent="0.45">
      <c r="A3" s="13"/>
      <c r="B3" s="13" t="s">
        <v>20</v>
      </c>
      <c r="C3" s="13"/>
      <c r="D3" s="13"/>
      <c r="E3" s="13"/>
      <c r="F3" s="13"/>
      <c r="G3" s="13"/>
      <c r="H3" s="13"/>
      <c r="I3" s="13"/>
      <c r="J3" s="13"/>
      <c r="K3" s="13"/>
      <c r="L3" s="13"/>
      <c r="M3" s="13"/>
      <c r="N3" s="13"/>
      <c r="O3" s="13"/>
      <c r="P3" s="13"/>
      <c r="Q3" s="13"/>
      <c r="R3" s="13"/>
      <c r="S3" s="13"/>
    </row>
    <row r="4" spans="1:19" ht="18.5" x14ac:dyDescent="0.45">
      <c r="A4" s="13"/>
      <c r="B4" s="13"/>
      <c r="C4" s="13"/>
      <c r="D4" s="13"/>
      <c r="E4" s="13"/>
      <c r="F4" s="13"/>
      <c r="G4" s="13"/>
      <c r="H4" s="13"/>
      <c r="I4" s="13"/>
      <c r="J4" s="13"/>
      <c r="K4" s="13"/>
      <c r="L4" s="13"/>
      <c r="M4" s="13"/>
      <c r="N4" s="13"/>
      <c r="O4" s="13"/>
      <c r="P4" s="13"/>
      <c r="Q4" s="13"/>
      <c r="R4" s="13"/>
      <c r="S4" s="13"/>
    </row>
    <row r="5" spans="1:19" ht="18.5" x14ac:dyDescent="0.45">
      <c r="A5" s="13"/>
      <c r="B5" s="13" t="s">
        <v>21</v>
      </c>
      <c r="C5" s="13"/>
      <c r="D5" s="13"/>
      <c r="E5" s="13"/>
      <c r="F5" s="13"/>
      <c r="G5" s="13"/>
      <c r="H5" s="13"/>
      <c r="I5" s="13"/>
      <c r="J5" s="13"/>
      <c r="K5" s="13"/>
      <c r="L5" s="13"/>
      <c r="M5" s="13"/>
      <c r="N5" s="13"/>
      <c r="O5" s="13"/>
      <c r="P5" s="13"/>
      <c r="Q5" s="13"/>
      <c r="R5" s="13"/>
      <c r="S5" s="13"/>
    </row>
    <row r="6" spans="1:19" ht="18.5" x14ac:dyDescent="0.45">
      <c r="A6" s="13"/>
      <c r="B6" s="13" t="s">
        <v>22</v>
      </c>
      <c r="C6" s="13"/>
      <c r="D6" s="13"/>
      <c r="E6" s="13"/>
      <c r="F6" s="13"/>
      <c r="G6" s="13"/>
      <c r="H6" s="13"/>
      <c r="I6" s="13"/>
      <c r="J6" s="13"/>
      <c r="K6" s="13"/>
      <c r="L6" s="13"/>
      <c r="M6" s="13"/>
      <c r="N6" s="13"/>
      <c r="O6" s="13"/>
      <c r="P6" s="13"/>
      <c r="Q6" s="13"/>
      <c r="R6" s="13"/>
      <c r="S6" s="13"/>
    </row>
    <row r="7" spans="1:19" ht="18.5" x14ac:dyDescent="0.45">
      <c r="A7" s="13"/>
      <c r="B7" s="13" t="s">
        <v>24</v>
      </c>
      <c r="C7" s="13"/>
      <c r="D7" s="13"/>
      <c r="E7" s="13"/>
      <c r="F7" s="13"/>
      <c r="G7" s="13"/>
      <c r="H7" s="13"/>
      <c r="I7" s="13"/>
      <c r="J7" s="13"/>
      <c r="K7" s="13"/>
      <c r="L7" s="13"/>
      <c r="M7" s="13"/>
      <c r="N7" s="13"/>
      <c r="O7" s="13"/>
      <c r="P7" s="13"/>
      <c r="Q7" s="13"/>
      <c r="R7" s="13"/>
      <c r="S7" s="13"/>
    </row>
    <row r="8" spans="1:19" ht="18.5" x14ac:dyDescent="0.45">
      <c r="A8" s="13"/>
      <c r="B8" s="13" t="s">
        <v>26</v>
      </c>
      <c r="C8" s="13"/>
      <c r="D8" s="13"/>
      <c r="E8" s="13"/>
      <c r="F8" s="13"/>
      <c r="G8" s="13"/>
      <c r="H8" s="13"/>
      <c r="I8" s="13"/>
      <c r="J8" s="13"/>
      <c r="K8" s="13"/>
      <c r="L8" s="13"/>
      <c r="M8" s="13"/>
      <c r="N8" s="13"/>
      <c r="O8" s="13"/>
      <c r="P8" s="13"/>
      <c r="Q8" s="13"/>
      <c r="R8" s="13"/>
      <c r="S8" s="13"/>
    </row>
    <row r="9" spans="1:19" ht="18.5" x14ac:dyDescent="0.45">
      <c r="A9" s="13"/>
      <c r="B9" s="13" t="s">
        <v>23</v>
      </c>
      <c r="C9" s="13"/>
      <c r="D9" s="13"/>
      <c r="E9" s="13"/>
      <c r="F9" s="13"/>
      <c r="G9" s="13"/>
      <c r="H9" s="13"/>
      <c r="I9" s="13"/>
      <c r="J9" s="13"/>
      <c r="K9" s="13"/>
      <c r="L9" s="13"/>
      <c r="M9" s="13"/>
      <c r="N9" s="13"/>
      <c r="O9" s="13"/>
      <c r="P9" s="13"/>
      <c r="Q9" s="13"/>
      <c r="R9" s="13"/>
      <c r="S9" s="13"/>
    </row>
    <row r="10" spans="1:19" ht="18.5" x14ac:dyDescent="0.45">
      <c r="A10" s="13"/>
      <c r="B10" s="13"/>
      <c r="C10" s="13"/>
      <c r="D10" s="13"/>
      <c r="E10" s="13"/>
      <c r="F10" s="13"/>
      <c r="G10" s="13"/>
      <c r="H10" s="13"/>
      <c r="I10" s="13"/>
      <c r="J10" s="13"/>
      <c r="K10" s="13"/>
      <c r="L10" s="13"/>
      <c r="M10" s="13"/>
      <c r="N10" s="13"/>
      <c r="O10" s="13"/>
      <c r="P10" s="13"/>
      <c r="Q10" s="13"/>
      <c r="R10" s="13"/>
      <c r="S10" s="13"/>
    </row>
    <row r="11" spans="1:19" ht="18.5" x14ac:dyDescent="0.45">
      <c r="A11" s="13"/>
      <c r="B11" s="13"/>
      <c r="C11" s="13"/>
      <c r="D11" s="13"/>
      <c r="E11" s="13"/>
      <c r="F11" s="13"/>
      <c r="G11" s="3" t="s">
        <v>35</v>
      </c>
      <c r="H11" s="13"/>
      <c r="I11" s="13"/>
      <c r="J11" s="13"/>
      <c r="K11" s="13"/>
      <c r="L11" s="13"/>
      <c r="M11" s="13"/>
      <c r="N11" s="13"/>
      <c r="O11" s="13"/>
      <c r="P11" s="13"/>
      <c r="Q11" s="13"/>
      <c r="R11" s="13"/>
      <c r="S11" s="13"/>
    </row>
    <row r="12" spans="1:19" ht="18.5" x14ac:dyDescent="0.45">
      <c r="A12" s="13"/>
      <c r="B12" s="13" t="s">
        <v>38</v>
      </c>
      <c r="C12" s="13"/>
      <c r="D12" s="13"/>
      <c r="E12" s="13"/>
      <c r="F12" s="13"/>
      <c r="G12" s="13"/>
      <c r="H12" s="13"/>
      <c r="I12" s="13"/>
      <c r="J12" s="13"/>
      <c r="K12" s="13"/>
      <c r="L12" s="13"/>
      <c r="M12" s="13"/>
      <c r="N12" s="13"/>
      <c r="O12" s="13"/>
      <c r="P12" s="13"/>
      <c r="Q12" s="13"/>
      <c r="R12" s="13"/>
      <c r="S12" s="13"/>
    </row>
    <row r="13" spans="1:19" ht="18.5" x14ac:dyDescent="0.45">
      <c r="A13" s="13"/>
      <c r="B13" s="13" t="s">
        <v>41</v>
      </c>
      <c r="C13" s="13"/>
      <c r="D13" s="13"/>
      <c r="E13" s="13"/>
      <c r="F13" s="13"/>
      <c r="G13" s="13"/>
      <c r="H13" s="13"/>
      <c r="I13" s="13"/>
      <c r="J13" s="13"/>
      <c r="K13" s="13"/>
      <c r="L13" s="13"/>
      <c r="M13" s="13"/>
      <c r="N13" s="13"/>
      <c r="O13" s="13"/>
      <c r="P13" s="13"/>
      <c r="Q13" s="13"/>
      <c r="R13" s="13"/>
      <c r="S13" s="13"/>
    </row>
    <row r="14" spans="1:19" ht="18.5" x14ac:dyDescent="0.45">
      <c r="A14" s="13"/>
      <c r="B14" s="13" t="s">
        <v>36</v>
      </c>
      <c r="C14" s="13"/>
      <c r="D14" s="13"/>
      <c r="E14" s="13"/>
      <c r="F14" s="13"/>
      <c r="G14" s="13"/>
      <c r="H14" s="13"/>
      <c r="I14" s="13"/>
      <c r="J14" s="13"/>
      <c r="K14" s="13"/>
      <c r="L14" s="13"/>
      <c r="M14" s="13"/>
      <c r="N14" s="13"/>
      <c r="O14" s="13"/>
      <c r="P14" s="13"/>
      <c r="Q14" s="13"/>
      <c r="R14" s="13"/>
      <c r="S14" s="13"/>
    </row>
    <row r="15" spans="1:19" ht="18.5" x14ac:dyDescent="0.45">
      <c r="A15" s="13"/>
      <c r="B15" s="13" t="s">
        <v>37</v>
      </c>
      <c r="C15" s="13"/>
      <c r="D15" s="13"/>
      <c r="E15" s="13"/>
      <c r="F15" s="13"/>
      <c r="G15" s="13"/>
      <c r="H15" s="13"/>
      <c r="I15" s="13"/>
      <c r="J15" s="13"/>
      <c r="K15" s="13"/>
      <c r="L15" s="13"/>
      <c r="M15" s="13"/>
      <c r="N15" s="13"/>
      <c r="O15" s="13"/>
      <c r="P15" s="13"/>
      <c r="Q15" s="13"/>
      <c r="R15" s="13"/>
      <c r="S15" s="13"/>
    </row>
    <row r="16" spans="1:19" ht="18.5" x14ac:dyDescent="0.45">
      <c r="A16" s="13"/>
      <c r="B16" s="15" t="s">
        <v>70</v>
      </c>
      <c r="C16" s="13"/>
      <c r="D16" s="13"/>
      <c r="E16" s="13"/>
      <c r="F16" s="13"/>
      <c r="G16" s="13"/>
      <c r="H16" s="13"/>
      <c r="I16" s="13"/>
      <c r="J16" s="13"/>
      <c r="K16" s="13"/>
      <c r="L16" s="13"/>
      <c r="M16" s="13"/>
      <c r="N16" s="13"/>
      <c r="O16" s="13"/>
      <c r="P16" s="13"/>
      <c r="Q16" s="13"/>
      <c r="R16" s="13"/>
      <c r="S16" s="13"/>
    </row>
    <row r="17" spans="1:19" ht="18.5" x14ac:dyDescent="0.45">
      <c r="A17" s="13"/>
      <c r="B17" s="13" t="s">
        <v>71</v>
      </c>
      <c r="C17" s="13"/>
      <c r="D17" s="13"/>
      <c r="E17" s="13"/>
      <c r="F17" s="13"/>
      <c r="G17" s="13"/>
      <c r="H17" s="13"/>
      <c r="I17" s="13"/>
      <c r="J17" s="13"/>
      <c r="K17" s="13"/>
      <c r="L17" s="13"/>
      <c r="M17" s="13"/>
      <c r="N17" s="13"/>
      <c r="O17" s="13"/>
      <c r="P17" s="13"/>
      <c r="Q17" s="13"/>
      <c r="R17" s="13"/>
      <c r="S17" s="13"/>
    </row>
    <row r="18" spans="1:19" ht="18.5" x14ac:dyDescent="0.45">
      <c r="A18" s="13"/>
      <c r="B18" s="13" t="s">
        <v>211</v>
      </c>
      <c r="C18" s="13"/>
      <c r="D18" s="13"/>
      <c r="E18" s="13"/>
      <c r="F18" s="13"/>
      <c r="G18" s="13"/>
      <c r="H18" s="13"/>
      <c r="I18" s="13"/>
      <c r="J18" s="13"/>
      <c r="K18" s="13"/>
      <c r="L18" s="13"/>
      <c r="M18" s="13"/>
      <c r="N18" s="13"/>
      <c r="O18" s="13"/>
      <c r="P18" s="13"/>
      <c r="Q18" s="13"/>
      <c r="R18" s="13"/>
      <c r="S18" s="13"/>
    </row>
    <row r="19" spans="1:19" ht="18.5" x14ac:dyDescent="0.45">
      <c r="A19" s="13"/>
      <c r="B19" s="13" t="s">
        <v>212</v>
      </c>
      <c r="C19" s="13"/>
      <c r="D19" s="13"/>
      <c r="E19" s="13"/>
      <c r="F19" s="13"/>
      <c r="G19" s="13"/>
      <c r="H19" s="13"/>
      <c r="I19" s="13"/>
      <c r="J19" s="13"/>
      <c r="K19" s="13"/>
      <c r="L19" s="13"/>
      <c r="M19" s="13"/>
      <c r="N19" s="13"/>
      <c r="O19" s="13"/>
      <c r="P19" s="13"/>
      <c r="Q19" s="13"/>
      <c r="R19" s="13"/>
      <c r="S19" s="13"/>
    </row>
    <row r="20" spans="1:19" ht="18.5" x14ac:dyDescent="0.45">
      <c r="A20" s="13"/>
      <c r="B20" s="13" t="s">
        <v>72</v>
      </c>
      <c r="C20" s="13"/>
      <c r="D20" s="13"/>
      <c r="E20" s="13"/>
      <c r="F20" s="13"/>
      <c r="G20" s="13"/>
      <c r="H20" s="13"/>
      <c r="I20" s="13"/>
      <c r="J20" s="13"/>
      <c r="K20" s="13"/>
      <c r="L20" s="13"/>
      <c r="M20" s="13"/>
      <c r="N20" s="13"/>
      <c r="O20" s="13"/>
      <c r="P20" s="13"/>
      <c r="Q20" s="13"/>
      <c r="R20" s="13"/>
      <c r="S20" s="13"/>
    </row>
    <row r="21" spans="1:19" ht="18.5" x14ac:dyDescent="0.45">
      <c r="A21" s="13"/>
      <c r="B21" s="13"/>
      <c r="C21" s="13"/>
      <c r="D21" s="13"/>
      <c r="E21" s="13"/>
      <c r="F21" s="13"/>
      <c r="G21" s="13"/>
      <c r="H21" s="13"/>
      <c r="I21" s="13"/>
      <c r="J21" s="13"/>
      <c r="K21" s="13"/>
      <c r="L21" s="13"/>
      <c r="M21" s="13"/>
      <c r="N21" s="13"/>
      <c r="O21" s="13"/>
      <c r="P21" s="13"/>
      <c r="Q21" s="13"/>
      <c r="R21" s="13"/>
      <c r="S21" s="13"/>
    </row>
    <row r="22" spans="1:19" ht="18.5" x14ac:dyDescent="0.45">
      <c r="A22" s="13"/>
      <c r="B22" s="15" t="s">
        <v>50</v>
      </c>
      <c r="C22" s="13"/>
      <c r="D22" s="13"/>
      <c r="E22" s="13"/>
      <c r="F22" s="13"/>
      <c r="G22" s="13"/>
      <c r="H22" s="13"/>
      <c r="I22" s="13"/>
      <c r="J22" s="13"/>
      <c r="K22" s="13"/>
      <c r="L22" s="13"/>
      <c r="M22" s="13"/>
      <c r="N22" s="13"/>
      <c r="O22" s="13"/>
      <c r="P22" s="13"/>
      <c r="Q22" s="13"/>
      <c r="R22" s="13"/>
      <c r="S22" s="13"/>
    </row>
    <row r="23" spans="1:19" ht="18.5" x14ac:dyDescent="0.45">
      <c r="A23" s="13"/>
      <c r="B23" s="13" t="s">
        <v>128</v>
      </c>
      <c r="C23" s="13"/>
      <c r="D23" s="13"/>
      <c r="E23" s="13"/>
      <c r="F23" s="13"/>
      <c r="G23" s="13"/>
      <c r="H23" s="13"/>
      <c r="I23" s="13"/>
      <c r="J23" s="13"/>
      <c r="K23" s="13"/>
      <c r="L23" s="13"/>
      <c r="M23" s="13"/>
      <c r="N23" s="13"/>
      <c r="O23" s="13"/>
      <c r="P23" s="13"/>
      <c r="Q23" s="13"/>
      <c r="R23" s="13"/>
      <c r="S23" s="13"/>
    </row>
    <row r="24" spans="1:19" ht="18.5" x14ac:dyDescent="0.45">
      <c r="A24" s="13"/>
      <c r="B24" s="16" t="s">
        <v>129</v>
      </c>
      <c r="C24" s="13"/>
      <c r="D24" s="13"/>
      <c r="E24" s="13"/>
      <c r="F24" s="13"/>
      <c r="G24" s="13"/>
      <c r="H24" s="13"/>
      <c r="I24" s="13"/>
      <c r="J24" s="13"/>
      <c r="K24" s="13"/>
      <c r="L24" s="13"/>
      <c r="M24" s="13"/>
      <c r="N24" s="13"/>
      <c r="O24" s="13"/>
      <c r="P24" s="13"/>
      <c r="Q24" s="13"/>
      <c r="R24" s="13"/>
      <c r="S24" s="13"/>
    </row>
    <row r="25" spans="1:19" ht="18.5" x14ac:dyDescent="0.45">
      <c r="A25" s="13"/>
      <c r="B25" s="16" t="s">
        <v>130</v>
      </c>
      <c r="C25" s="13"/>
      <c r="D25" s="13"/>
      <c r="E25" s="13"/>
      <c r="F25" s="13"/>
      <c r="G25" s="13"/>
      <c r="H25" s="13"/>
      <c r="I25" s="13"/>
      <c r="J25" s="13"/>
      <c r="K25" s="13"/>
      <c r="L25" s="13"/>
      <c r="M25" s="13"/>
      <c r="N25" s="13"/>
      <c r="O25" s="13"/>
      <c r="P25" s="13"/>
      <c r="Q25" s="13"/>
      <c r="R25" s="13"/>
      <c r="S25" s="13"/>
    </row>
    <row r="26" spans="1:19" ht="18.5" x14ac:dyDescent="0.45">
      <c r="A26" s="13"/>
      <c r="B26" s="16"/>
      <c r="C26" s="13"/>
      <c r="D26" s="13"/>
      <c r="E26" s="13"/>
      <c r="F26" s="13"/>
      <c r="G26" s="13"/>
      <c r="H26" s="13"/>
      <c r="I26" s="13"/>
      <c r="J26" s="13"/>
      <c r="K26" s="13"/>
      <c r="L26" s="13"/>
      <c r="M26" s="13"/>
      <c r="N26" s="13"/>
      <c r="O26" s="13"/>
      <c r="P26" s="13"/>
      <c r="Q26" s="13"/>
      <c r="R26" s="13"/>
      <c r="S26" s="13"/>
    </row>
    <row r="27" spans="1:19" ht="18.5" x14ac:dyDescent="0.45">
      <c r="A27" s="13"/>
      <c r="B27" s="13" t="s">
        <v>51</v>
      </c>
      <c r="C27" s="13"/>
      <c r="D27" s="13"/>
      <c r="E27" s="13"/>
      <c r="F27" s="13"/>
      <c r="G27" s="13"/>
      <c r="H27" s="13"/>
      <c r="I27" s="13"/>
      <c r="J27" s="13"/>
      <c r="K27" s="13"/>
      <c r="L27" s="13"/>
      <c r="M27" s="13"/>
      <c r="N27" s="13"/>
      <c r="O27" s="13"/>
      <c r="P27" s="13"/>
      <c r="Q27" s="13"/>
      <c r="R27" s="13"/>
      <c r="S27" s="13"/>
    </row>
    <row r="28" spans="1:19" ht="18.5" x14ac:dyDescent="0.45">
      <c r="A28" s="13"/>
      <c r="B28" s="13" t="s">
        <v>213</v>
      </c>
      <c r="C28" s="13"/>
      <c r="D28" s="13"/>
      <c r="E28" s="13"/>
      <c r="F28" s="13"/>
      <c r="G28" s="13"/>
      <c r="H28" s="13"/>
      <c r="I28" s="13"/>
      <c r="J28" s="13"/>
      <c r="K28" s="13"/>
      <c r="L28" s="13"/>
      <c r="M28" s="13"/>
      <c r="N28" s="13"/>
      <c r="O28" s="13"/>
      <c r="P28" s="13"/>
      <c r="Q28" s="13"/>
      <c r="R28" s="13"/>
      <c r="S28" s="13"/>
    </row>
    <row r="29" spans="1:19" ht="18.5" x14ac:dyDescent="0.45">
      <c r="A29" s="13"/>
      <c r="B29" s="13" t="s">
        <v>214</v>
      </c>
      <c r="C29" s="13"/>
      <c r="D29" s="13"/>
      <c r="E29" s="13"/>
      <c r="F29" s="13"/>
      <c r="G29" s="13"/>
      <c r="H29" s="13"/>
      <c r="I29" s="13"/>
      <c r="J29" s="13"/>
      <c r="K29" s="13"/>
      <c r="L29" s="13"/>
      <c r="M29" s="13"/>
      <c r="N29" s="13"/>
      <c r="O29" s="13"/>
      <c r="P29" s="13"/>
      <c r="Q29" s="13"/>
      <c r="R29" s="13"/>
      <c r="S29" s="13"/>
    </row>
    <row r="30" spans="1:19" ht="18.5" x14ac:dyDescent="0.45">
      <c r="A30" s="13"/>
      <c r="B30" s="13" t="s">
        <v>215</v>
      </c>
      <c r="C30" s="13"/>
      <c r="D30" s="13"/>
      <c r="E30" s="13"/>
      <c r="F30" s="13"/>
      <c r="G30" s="13"/>
      <c r="H30" s="13"/>
      <c r="I30" s="13"/>
      <c r="J30" s="13"/>
      <c r="K30" s="13"/>
      <c r="L30" s="13"/>
      <c r="M30" s="13"/>
      <c r="N30" s="13"/>
      <c r="O30" s="13"/>
      <c r="P30" s="13"/>
      <c r="Q30" s="13"/>
      <c r="R30" s="13"/>
      <c r="S30" s="13"/>
    </row>
    <row r="31" spans="1:19" ht="18.5" x14ac:dyDescent="0.45">
      <c r="A31" s="13"/>
      <c r="B31" s="13" t="s">
        <v>216</v>
      </c>
      <c r="C31" s="13"/>
      <c r="D31" s="13"/>
      <c r="E31" s="13"/>
      <c r="F31" s="13"/>
      <c r="G31" s="13"/>
      <c r="H31" s="13"/>
      <c r="I31" s="13"/>
      <c r="J31" s="13"/>
      <c r="K31" s="13"/>
      <c r="L31" s="13"/>
      <c r="M31" s="13"/>
      <c r="N31" s="13"/>
      <c r="O31" s="13"/>
      <c r="P31" s="13"/>
      <c r="Q31" s="13"/>
      <c r="R31" s="13"/>
      <c r="S31" s="13"/>
    </row>
    <row r="32" spans="1:19" ht="18.5" x14ac:dyDescent="0.45">
      <c r="A32" s="13"/>
      <c r="B32" s="13" t="s">
        <v>217</v>
      </c>
      <c r="C32" s="13"/>
      <c r="D32" s="13"/>
      <c r="E32" s="13"/>
      <c r="F32" s="13"/>
      <c r="G32" s="13"/>
      <c r="H32" s="13"/>
      <c r="I32" s="13"/>
      <c r="J32" s="13"/>
      <c r="K32" s="13"/>
      <c r="L32" s="13"/>
      <c r="M32" s="13"/>
      <c r="N32" s="13"/>
      <c r="O32" s="13"/>
      <c r="P32" s="13"/>
      <c r="Q32" s="13"/>
      <c r="R32" s="13"/>
      <c r="S32" s="13"/>
    </row>
    <row r="33" spans="1:19" ht="18.5" x14ac:dyDescent="0.45">
      <c r="A33" s="13"/>
      <c r="B33" s="13" t="s">
        <v>218</v>
      </c>
      <c r="C33" s="13"/>
      <c r="D33" s="13"/>
      <c r="E33" s="13"/>
      <c r="F33" s="13"/>
      <c r="G33" s="13"/>
      <c r="H33" s="13"/>
      <c r="I33" s="13"/>
      <c r="J33" s="13"/>
      <c r="K33" s="13"/>
      <c r="L33" s="13"/>
      <c r="M33" s="13"/>
      <c r="N33" s="13"/>
      <c r="O33" s="13"/>
      <c r="P33" s="13"/>
      <c r="Q33" s="13"/>
      <c r="R33" s="13"/>
      <c r="S33" s="13"/>
    </row>
    <row r="34" spans="1:19" ht="18.5" x14ac:dyDescent="0.45">
      <c r="A34" s="13"/>
      <c r="B34" s="13" t="s">
        <v>219</v>
      </c>
      <c r="C34" s="13"/>
      <c r="D34" s="13"/>
      <c r="E34" s="13"/>
      <c r="F34" s="13"/>
      <c r="G34" s="13"/>
      <c r="H34" s="13"/>
      <c r="I34" s="13"/>
      <c r="J34" s="13"/>
      <c r="K34" s="13"/>
      <c r="L34" s="13"/>
      <c r="M34" s="13"/>
      <c r="N34" s="13"/>
      <c r="O34" s="13"/>
      <c r="P34" s="13"/>
      <c r="Q34" s="13"/>
      <c r="R34" s="13"/>
      <c r="S34" s="13"/>
    </row>
    <row r="35" spans="1:19" ht="18.5" x14ac:dyDescent="0.45">
      <c r="A35" s="13"/>
      <c r="B35" s="13" t="s">
        <v>220</v>
      </c>
      <c r="C35" s="13"/>
      <c r="D35" s="13"/>
      <c r="E35" s="13"/>
      <c r="F35" s="13"/>
      <c r="G35" s="13"/>
      <c r="H35" s="13"/>
      <c r="I35" s="13"/>
      <c r="J35" s="13"/>
      <c r="K35" s="13"/>
      <c r="L35" s="13"/>
      <c r="M35" s="13"/>
      <c r="N35" s="13"/>
      <c r="O35" s="13"/>
      <c r="P35" s="13"/>
      <c r="Q35" s="13"/>
      <c r="R35" s="13"/>
      <c r="S35" s="13"/>
    </row>
    <row r="36" spans="1:19" ht="18.5" x14ac:dyDescent="0.45">
      <c r="A36" s="13"/>
      <c r="B36" s="3" t="s">
        <v>55</v>
      </c>
      <c r="C36" s="13"/>
      <c r="D36" s="13"/>
      <c r="E36" s="13"/>
      <c r="F36" s="13"/>
      <c r="G36" s="13"/>
      <c r="H36" s="13"/>
      <c r="I36" s="13"/>
      <c r="J36" s="13"/>
      <c r="K36" s="13"/>
      <c r="L36" s="13"/>
      <c r="M36" s="13"/>
      <c r="N36" s="13"/>
      <c r="O36" s="13"/>
      <c r="P36" s="13"/>
      <c r="Q36" s="13"/>
      <c r="R36" s="13"/>
      <c r="S36" s="13"/>
    </row>
    <row r="37" spans="1:19" ht="18.5" x14ac:dyDescent="0.45">
      <c r="A37" s="13"/>
      <c r="B37" s="13" t="s">
        <v>221</v>
      </c>
      <c r="C37" s="13"/>
      <c r="D37" s="13"/>
      <c r="E37" s="13"/>
      <c r="F37" s="13"/>
      <c r="G37" s="13"/>
      <c r="H37" s="13"/>
      <c r="I37" s="13"/>
      <c r="J37" s="13"/>
      <c r="K37" s="13"/>
      <c r="L37" s="13"/>
      <c r="M37" s="13"/>
      <c r="N37" s="13"/>
      <c r="O37" s="13"/>
      <c r="P37" s="13"/>
      <c r="Q37" s="13"/>
      <c r="R37" s="13"/>
      <c r="S37" s="13"/>
    </row>
    <row r="38" spans="1:19" ht="18.5" x14ac:dyDescent="0.45">
      <c r="A38" s="13"/>
      <c r="B38" s="13" t="s">
        <v>222</v>
      </c>
      <c r="C38" s="13"/>
      <c r="D38" s="13"/>
      <c r="E38" s="13"/>
      <c r="F38" s="13"/>
      <c r="G38" s="13"/>
      <c r="H38" s="13"/>
      <c r="I38" s="13"/>
      <c r="J38" s="13"/>
      <c r="K38" s="13"/>
      <c r="L38" s="13"/>
      <c r="M38" s="13"/>
      <c r="N38" s="13"/>
      <c r="O38" s="13"/>
      <c r="P38" s="13"/>
      <c r="Q38" s="13"/>
      <c r="R38" s="13"/>
      <c r="S38" s="13"/>
    </row>
    <row r="39" spans="1:19" ht="18.5" x14ac:dyDescent="0.45">
      <c r="A39" s="13"/>
      <c r="B39" s="13" t="s">
        <v>223</v>
      </c>
      <c r="C39" s="13"/>
      <c r="D39" s="13"/>
      <c r="E39" s="13"/>
      <c r="F39" s="13"/>
      <c r="G39" s="13"/>
      <c r="H39" s="13"/>
      <c r="I39" s="13"/>
      <c r="J39" s="13"/>
      <c r="K39" s="13"/>
      <c r="L39" s="13"/>
      <c r="M39" s="13"/>
      <c r="N39" s="13"/>
      <c r="O39" s="13"/>
      <c r="P39" s="13"/>
      <c r="Q39" s="13"/>
      <c r="R39" s="13"/>
      <c r="S39" s="13"/>
    </row>
    <row r="40" spans="1:19" ht="18.5" x14ac:dyDescent="0.45">
      <c r="A40" s="13"/>
      <c r="B40" s="13" t="s">
        <v>224</v>
      </c>
      <c r="C40" s="13"/>
      <c r="D40" s="13"/>
      <c r="E40" s="13"/>
      <c r="F40" s="13"/>
      <c r="G40" s="13"/>
      <c r="H40" s="13"/>
      <c r="I40" s="13"/>
      <c r="J40" s="13"/>
      <c r="K40" s="13"/>
      <c r="L40" s="13"/>
      <c r="M40" s="13"/>
      <c r="N40" s="13"/>
      <c r="O40" s="13"/>
      <c r="P40" s="13"/>
      <c r="Q40" s="13"/>
      <c r="R40" s="13"/>
      <c r="S40" s="13"/>
    </row>
    <row r="41" spans="1:19" ht="18.5" x14ac:dyDescent="0.45">
      <c r="A41" s="13"/>
      <c r="B41" s="13" t="s">
        <v>225</v>
      </c>
      <c r="C41" s="13"/>
      <c r="D41" s="13"/>
      <c r="E41" s="13"/>
      <c r="F41" s="13"/>
      <c r="G41" s="13"/>
      <c r="H41" s="13"/>
      <c r="I41" s="13"/>
      <c r="J41" s="13"/>
      <c r="K41" s="13"/>
      <c r="L41" s="13"/>
      <c r="M41" s="13"/>
      <c r="N41" s="13"/>
      <c r="O41" s="13"/>
      <c r="P41" s="13"/>
      <c r="Q41" s="13"/>
      <c r="R41" s="13"/>
      <c r="S41" s="13"/>
    </row>
    <row r="42" spans="1:19" ht="18.5" x14ac:dyDescent="0.45">
      <c r="A42" s="13"/>
      <c r="B42" s="13" t="s">
        <v>226</v>
      </c>
      <c r="C42" s="13"/>
      <c r="D42" s="13"/>
      <c r="E42" s="13"/>
      <c r="F42" s="13"/>
      <c r="G42" s="13"/>
      <c r="H42" s="13"/>
      <c r="I42" s="13"/>
      <c r="J42" s="13"/>
      <c r="K42" s="13"/>
      <c r="L42" s="13"/>
      <c r="M42" s="13"/>
      <c r="N42" s="13"/>
      <c r="O42" s="13"/>
      <c r="P42" s="13"/>
      <c r="Q42" s="13"/>
      <c r="R42" s="13"/>
      <c r="S42" s="13"/>
    </row>
    <row r="43" spans="1:19" ht="18.5" x14ac:dyDescent="0.45">
      <c r="A43" s="13"/>
      <c r="B43" s="13" t="s">
        <v>227</v>
      </c>
      <c r="C43" s="13"/>
      <c r="D43" s="13"/>
      <c r="E43" s="13"/>
      <c r="F43" s="13"/>
      <c r="G43" s="13"/>
      <c r="H43" s="13"/>
      <c r="I43" s="13"/>
      <c r="J43" s="13"/>
      <c r="K43" s="13"/>
      <c r="L43" s="13"/>
      <c r="M43" s="13"/>
      <c r="N43" s="13"/>
      <c r="O43" s="13"/>
      <c r="P43" s="13"/>
      <c r="Q43" s="13"/>
      <c r="R43" s="13"/>
      <c r="S43" s="13"/>
    </row>
    <row r="44" spans="1:19" ht="18.5" x14ac:dyDescent="0.45">
      <c r="A44" s="13"/>
      <c r="B44" s="13" t="s">
        <v>228</v>
      </c>
      <c r="C44" s="13"/>
      <c r="D44" s="13"/>
      <c r="E44" s="13"/>
      <c r="F44" s="13"/>
      <c r="G44" s="13"/>
      <c r="H44" s="13"/>
      <c r="I44" s="13"/>
      <c r="J44" s="13"/>
      <c r="K44" s="13"/>
      <c r="L44" s="13"/>
      <c r="M44" s="13"/>
      <c r="N44" s="13"/>
      <c r="O44" s="13"/>
      <c r="P44" s="13"/>
      <c r="Q44" s="13"/>
      <c r="R44" s="13"/>
      <c r="S44" s="13"/>
    </row>
    <row r="45" spans="1:19" ht="18.5" x14ac:dyDescent="0.45">
      <c r="A45" s="13"/>
      <c r="B45" s="13" t="s">
        <v>229</v>
      </c>
      <c r="C45" s="13"/>
      <c r="D45" s="13"/>
      <c r="E45" s="13"/>
      <c r="F45" s="13"/>
      <c r="G45" s="13"/>
      <c r="H45" s="13"/>
      <c r="I45" s="13"/>
      <c r="J45" s="13"/>
      <c r="K45" s="13"/>
      <c r="L45" s="13"/>
      <c r="M45" s="13"/>
      <c r="N45" s="13"/>
      <c r="O45" s="13"/>
      <c r="P45" s="13"/>
      <c r="Q45" s="13"/>
      <c r="R45" s="13"/>
      <c r="S45" s="13"/>
    </row>
    <row r="46" spans="1:19" ht="18.5" x14ac:dyDescent="0.45">
      <c r="A46" s="13"/>
      <c r="B46" s="13" t="s">
        <v>230</v>
      </c>
      <c r="C46" s="13"/>
      <c r="D46" s="13"/>
      <c r="E46" s="13"/>
      <c r="F46" s="13"/>
      <c r="G46" s="13"/>
      <c r="H46" s="13"/>
      <c r="I46" s="13"/>
      <c r="J46" s="13"/>
      <c r="K46" s="13"/>
      <c r="L46" s="13"/>
      <c r="M46" s="13"/>
      <c r="N46" s="13"/>
      <c r="O46" s="13"/>
      <c r="P46" s="13"/>
      <c r="Q46" s="13"/>
      <c r="R46" s="13"/>
      <c r="S46" s="13"/>
    </row>
    <row r="47" spans="1:19" ht="18.5" x14ac:dyDescent="0.45">
      <c r="A47" s="13"/>
      <c r="B47" s="13" t="s">
        <v>231</v>
      </c>
      <c r="C47" s="13"/>
      <c r="D47" s="13"/>
      <c r="E47" s="13"/>
      <c r="F47" s="13"/>
      <c r="G47" s="13"/>
      <c r="H47" s="13"/>
      <c r="I47" s="13"/>
      <c r="J47" s="13"/>
      <c r="K47" s="13"/>
      <c r="L47" s="13"/>
      <c r="M47" s="13"/>
      <c r="N47" s="13"/>
      <c r="O47" s="13"/>
      <c r="P47" s="13"/>
      <c r="Q47" s="13"/>
      <c r="R47" s="13"/>
      <c r="S47" s="13"/>
    </row>
    <row r="48" spans="1:19" ht="18.5" x14ac:dyDescent="0.45">
      <c r="A48" s="13"/>
      <c r="B48" s="13"/>
      <c r="C48" s="13"/>
      <c r="D48" s="13"/>
      <c r="E48" s="13"/>
      <c r="F48" s="13"/>
      <c r="G48" s="13"/>
      <c r="H48" s="13"/>
      <c r="I48" s="13"/>
      <c r="J48" s="13"/>
      <c r="K48" s="13"/>
      <c r="L48" s="13"/>
      <c r="M48" s="13"/>
      <c r="N48" s="13"/>
      <c r="O48" s="13"/>
      <c r="P48" s="13"/>
      <c r="Q48" s="13"/>
      <c r="R48" s="13"/>
      <c r="S48" s="13"/>
    </row>
    <row r="49" spans="1:19" ht="18.5" x14ac:dyDescent="0.45">
      <c r="A49" s="13"/>
      <c r="B49" s="3" t="s">
        <v>49</v>
      </c>
      <c r="C49" s="13"/>
      <c r="D49" s="13"/>
      <c r="E49" s="13"/>
      <c r="F49" s="13"/>
      <c r="G49" s="13"/>
      <c r="H49" s="13"/>
      <c r="I49" s="13"/>
      <c r="J49" s="13"/>
      <c r="K49" s="13"/>
      <c r="L49" s="13"/>
      <c r="M49" s="13"/>
      <c r="N49" s="13"/>
      <c r="O49" s="13"/>
      <c r="P49" s="13"/>
      <c r="Q49" s="13"/>
      <c r="R49" s="13"/>
      <c r="S49" s="13"/>
    </row>
    <row r="50" spans="1:19" ht="18.5" x14ac:dyDescent="0.45">
      <c r="A50" s="13"/>
      <c r="B50" s="13" t="s">
        <v>53</v>
      </c>
      <c r="C50" s="13"/>
      <c r="D50" s="13"/>
      <c r="E50" s="13"/>
      <c r="F50" s="13"/>
      <c r="G50" s="13"/>
      <c r="H50" s="13"/>
      <c r="I50" s="13"/>
      <c r="J50" s="13"/>
      <c r="K50" s="13"/>
      <c r="L50" s="13"/>
      <c r="M50" s="13"/>
      <c r="N50" s="13"/>
      <c r="O50" s="13"/>
      <c r="P50" s="13"/>
      <c r="Q50" s="13"/>
      <c r="R50" s="13"/>
      <c r="S50" s="13"/>
    </row>
    <row r="51" spans="1:19" ht="18.5" x14ac:dyDescent="0.45">
      <c r="A51" s="13"/>
      <c r="B51" s="13" t="s">
        <v>232</v>
      </c>
      <c r="C51" s="13"/>
      <c r="D51" s="13"/>
      <c r="E51" s="13"/>
      <c r="F51" s="13"/>
      <c r="G51" s="13"/>
      <c r="H51" s="13"/>
      <c r="I51" s="13"/>
      <c r="J51" s="13"/>
      <c r="K51" s="13"/>
      <c r="L51" s="13"/>
      <c r="M51" s="13"/>
      <c r="N51" s="13"/>
      <c r="O51" s="13"/>
      <c r="P51" s="13"/>
      <c r="Q51" s="13"/>
      <c r="R51" s="13"/>
      <c r="S51" s="13"/>
    </row>
    <row r="52" spans="1:19" ht="18.5" x14ac:dyDescent="0.45">
      <c r="A52" s="13"/>
      <c r="B52" s="13" t="s">
        <v>233</v>
      </c>
      <c r="C52" s="13"/>
      <c r="D52" s="13"/>
      <c r="E52" s="13"/>
      <c r="F52" s="13"/>
      <c r="G52" s="13"/>
      <c r="H52" s="13"/>
      <c r="I52" s="13"/>
      <c r="J52" s="13"/>
      <c r="K52" s="13"/>
      <c r="L52" s="13"/>
      <c r="M52" s="13"/>
      <c r="N52" s="13"/>
      <c r="O52" s="13"/>
      <c r="P52" s="13"/>
      <c r="Q52" s="13"/>
      <c r="R52" s="13"/>
      <c r="S52" s="13"/>
    </row>
    <row r="53" spans="1:19" ht="18.5" x14ac:dyDescent="0.45">
      <c r="A53" s="13"/>
      <c r="B53" s="13" t="s">
        <v>234</v>
      </c>
      <c r="C53" s="13"/>
      <c r="D53" s="13"/>
      <c r="E53" s="13"/>
      <c r="F53" s="13"/>
      <c r="G53" s="13"/>
      <c r="H53" s="13"/>
      <c r="I53" s="13"/>
      <c r="J53" s="13"/>
      <c r="K53" s="13"/>
      <c r="L53" s="13"/>
      <c r="M53" s="13"/>
      <c r="N53" s="13"/>
      <c r="O53" s="13"/>
      <c r="P53" s="13"/>
      <c r="Q53" s="13"/>
      <c r="R53" s="13"/>
      <c r="S53" s="13"/>
    </row>
    <row r="54" spans="1:19" ht="18.5" x14ac:dyDescent="0.45">
      <c r="A54" s="13"/>
      <c r="B54" s="13" t="s">
        <v>235</v>
      </c>
      <c r="C54" s="13"/>
      <c r="D54" s="13"/>
      <c r="E54" s="13"/>
      <c r="F54" s="13"/>
      <c r="G54" s="13"/>
      <c r="H54" s="13"/>
      <c r="I54" s="13"/>
      <c r="J54" s="13"/>
      <c r="K54" s="13"/>
      <c r="L54" s="13"/>
      <c r="M54" s="13"/>
      <c r="N54" s="13"/>
      <c r="O54" s="13"/>
      <c r="P54" s="13"/>
      <c r="Q54" s="13"/>
      <c r="R54" s="13"/>
      <c r="S54" s="13"/>
    </row>
    <row r="55" spans="1:19" ht="18.5" x14ac:dyDescent="0.45">
      <c r="A55" s="13"/>
      <c r="B55" s="13" t="s">
        <v>236</v>
      </c>
      <c r="C55" s="13"/>
      <c r="D55" s="13"/>
      <c r="E55" s="13"/>
      <c r="F55" s="13"/>
      <c r="G55" s="13"/>
      <c r="H55" s="13"/>
      <c r="I55" s="13"/>
      <c r="J55" s="13"/>
      <c r="K55" s="13"/>
      <c r="L55" s="13"/>
      <c r="M55" s="13"/>
      <c r="N55" s="13"/>
      <c r="O55" s="13"/>
      <c r="P55" s="13"/>
      <c r="Q55" s="13"/>
      <c r="R55" s="13"/>
      <c r="S55" s="13"/>
    </row>
    <row r="56" spans="1:19" ht="18.5" x14ac:dyDescent="0.45">
      <c r="A56" s="13"/>
      <c r="B56" s="13" t="s">
        <v>237</v>
      </c>
      <c r="C56" s="13"/>
      <c r="D56" s="13"/>
      <c r="E56" s="13"/>
      <c r="F56" s="13"/>
      <c r="G56" s="13"/>
      <c r="H56" s="13"/>
      <c r="I56" s="13"/>
      <c r="J56" s="13"/>
      <c r="K56" s="13"/>
      <c r="L56" s="13"/>
      <c r="M56" s="13"/>
      <c r="N56" s="13"/>
      <c r="O56" s="13"/>
      <c r="P56" s="13"/>
      <c r="Q56" s="13"/>
      <c r="R56" s="13"/>
      <c r="S56" s="13"/>
    </row>
    <row r="57" spans="1:19" ht="18.5" x14ac:dyDescent="0.45">
      <c r="A57" s="13"/>
      <c r="B57" s="13" t="s">
        <v>238</v>
      </c>
      <c r="C57" s="13"/>
      <c r="D57" s="13"/>
      <c r="E57" s="13"/>
      <c r="F57" s="13"/>
      <c r="G57" s="13"/>
      <c r="H57" s="13"/>
      <c r="I57" s="13"/>
      <c r="J57" s="13"/>
      <c r="K57" s="13"/>
      <c r="L57" s="13"/>
      <c r="M57" s="13"/>
      <c r="N57" s="13"/>
      <c r="O57" s="13"/>
      <c r="P57" s="13"/>
      <c r="Q57" s="13"/>
      <c r="R57" s="13"/>
      <c r="S57" s="13"/>
    </row>
    <row r="58" spans="1:19" ht="18.5" x14ac:dyDescent="0.45">
      <c r="A58" s="13"/>
      <c r="B58" s="13" t="s">
        <v>52</v>
      </c>
      <c r="C58" s="13"/>
      <c r="D58" s="13"/>
      <c r="E58" s="13"/>
      <c r="F58" s="13"/>
      <c r="G58" s="13"/>
      <c r="H58" s="13"/>
      <c r="I58" s="13"/>
      <c r="J58" s="13"/>
      <c r="K58" s="13"/>
      <c r="L58" s="13"/>
      <c r="M58" s="13"/>
      <c r="N58" s="13"/>
      <c r="O58" s="13"/>
      <c r="P58" s="13"/>
      <c r="Q58" s="13"/>
      <c r="R58" s="13"/>
      <c r="S58" s="13"/>
    </row>
    <row r="59" spans="1:19" ht="18.5" x14ac:dyDescent="0.45">
      <c r="A59" s="13"/>
      <c r="B59" s="13" t="s">
        <v>239</v>
      </c>
      <c r="C59" s="13"/>
      <c r="D59" s="13"/>
      <c r="E59" s="13"/>
      <c r="F59" s="13"/>
      <c r="G59" s="13"/>
      <c r="H59" s="13"/>
      <c r="I59" s="13"/>
      <c r="J59" s="13"/>
      <c r="K59" s="13"/>
      <c r="L59" s="13"/>
      <c r="M59" s="13"/>
      <c r="N59" s="13"/>
      <c r="O59" s="13"/>
      <c r="P59" s="13"/>
      <c r="Q59" s="13"/>
      <c r="R59" s="13"/>
      <c r="S59" s="13"/>
    </row>
    <row r="60" spans="1:19" ht="18.5" x14ac:dyDescent="0.45">
      <c r="A60" s="13"/>
      <c r="B60" s="13" t="s">
        <v>240</v>
      </c>
      <c r="C60" s="13"/>
      <c r="D60" s="13"/>
      <c r="E60" s="13"/>
      <c r="F60" s="13"/>
      <c r="G60" s="13"/>
      <c r="H60" s="13"/>
      <c r="I60" s="13"/>
      <c r="J60" s="13"/>
      <c r="K60" s="13"/>
      <c r="L60" s="13"/>
      <c r="M60" s="13"/>
      <c r="N60" s="13"/>
      <c r="O60" s="13"/>
      <c r="P60" s="13"/>
      <c r="Q60" s="13"/>
      <c r="R60" s="13"/>
      <c r="S60" s="13"/>
    </row>
    <row r="61" spans="1:19" ht="18.5" x14ac:dyDescent="0.45">
      <c r="A61" s="13"/>
      <c r="B61" s="13"/>
      <c r="C61" s="13"/>
      <c r="D61" s="13"/>
      <c r="E61" s="13"/>
      <c r="F61" s="13"/>
      <c r="G61" s="13"/>
      <c r="H61" s="13"/>
      <c r="I61" s="13"/>
      <c r="J61" s="13"/>
      <c r="K61" s="13"/>
      <c r="L61" s="13"/>
      <c r="M61" s="13"/>
      <c r="N61" s="13"/>
      <c r="O61" s="13"/>
      <c r="P61" s="13"/>
      <c r="Q61" s="13"/>
      <c r="R61" s="13"/>
      <c r="S61" s="13"/>
    </row>
    <row r="62" spans="1:19" ht="18.5" x14ac:dyDescent="0.45">
      <c r="A62" s="13"/>
      <c r="B62" s="13" t="s">
        <v>241</v>
      </c>
      <c r="C62" s="13"/>
      <c r="D62" s="13"/>
      <c r="E62" s="13"/>
      <c r="F62" s="13"/>
      <c r="G62" s="13"/>
      <c r="H62" s="13"/>
      <c r="I62" s="13"/>
      <c r="J62" s="13"/>
      <c r="K62" s="13"/>
      <c r="L62" s="13"/>
      <c r="M62" s="13"/>
      <c r="N62" s="13"/>
      <c r="O62" s="13"/>
      <c r="P62" s="13"/>
      <c r="Q62" s="13"/>
      <c r="R62" s="13"/>
      <c r="S62" s="13"/>
    </row>
    <row r="63" spans="1:19" ht="18.5" x14ac:dyDescent="0.45">
      <c r="A63" s="13"/>
      <c r="B63" s="13"/>
      <c r="C63" s="13"/>
      <c r="D63" s="13"/>
      <c r="E63" s="13"/>
      <c r="F63" s="13"/>
      <c r="G63" s="13"/>
      <c r="H63" s="13"/>
      <c r="I63" s="13"/>
      <c r="J63" s="13"/>
      <c r="K63" s="13"/>
      <c r="L63" s="13"/>
      <c r="M63" s="13"/>
      <c r="N63" s="13"/>
      <c r="O63" s="13"/>
      <c r="P63" s="13"/>
      <c r="Q63" s="13"/>
      <c r="R63" s="13"/>
      <c r="S63" s="13"/>
    </row>
    <row r="64" spans="1:19" ht="18.5" x14ac:dyDescent="0.45">
      <c r="A64" s="13"/>
      <c r="B64" s="15" t="s">
        <v>54</v>
      </c>
      <c r="C64" s="13"/>
      <c r="D64" s="13"/>
      <c r="E64" s="13"/>
      <c r="F64" s="13"/>
      <c r="G64" s="13"/>
      <c r="H64" s="13"/>
      <c r="I64" s="13"/>
      <c r="J64" s="13"/>
      <c r="K64" s="13"/>
      <c r="L64" s="13"/>
      <c r="M64" s="13"/>
      <c r="N64" s="13"/>
      <c r="O64" s="13"/>
      <c r="P64" s="13"/>
      <c r="Q64" s="13"/>
      <c r="R64" s="13"/>
      <c r="S64" s="13"/>
    </row>
    <row r="65" spans="1:19" ht="18.5" x14ac:dyDescent="0.45">
      <c r="A65" s="13"/>
      <c r="B65" s="13" t="s">
        <v>56</v>
      </c>
      <c r="C65" s="13"/>
      <c r="D65" s="13"/>
      <c r="E65" s="13"/>
      <c r="F65" s="13"/>
      <c r="G65" s="13"/>
      <c r="H65" s="13"/>
      <c r="I65" s="13"/>
      <c r="J65" s="13"/>
      <c r="K65" s="13"/>
      <c r="L65" s="13"/>
      <c r="M65" s="13"/>
      <c r="N65" s="13"/>
      <c r="O65" s="13"/>
      <c r="P65" s="13"/>
      <c r="Q65" s="13"/>
      <c r="R65" s="13"/>
      <c r="S65" s="13"/>
    </row>
    <row r="66" spans="1:19" ht="15.5" customHeight="1" x14ac:dyDescent="0.45">
      <c r="A66" s="13"/>
      <c r="B66" s="13" t="s">
        <v>57</v>
      </c>
      <c r="C66" s="13"/>
      <c r="D66" s="13"/>
      <c r="E66" s="13"/>
      <c r="F66" s="13"/>
      <c r="G66" s="13"/>
      <c r="H66" s="13"/>
      <c r="I66" s="13"/>
      <c r="J66" s="13"/>
      <c r="K66" s="13"/>
      <c r="L66" s="13"/>
      <c r="M66" s="13"/>
      <c r="N66" s="13"/>
      <c r="O66" s="13"/>
      <c r="P66" s="13"/>
      <c r="Q66" s="13"/>
      <c r="R66" s="13"/>
      <c r="S66" s="13"/>
    </row>
    <row r="67" spans="1:19" ht="15.5" customHeight="1" x14ac:dyDescent="0.45">
      <c r="A67" s="13"/>
      <c r="B67" s="13"/>
      <c r="C67" s="13"/>
      <c r="D67" s="13"/>
      <c r="E67" s="13"/>
      <c r="F67" s="13"/>
      <c r="G67" s="13"/>
      <c r="H67" s="13"/>
      <c r="I67" s="13"/>
      <c r="J67" s="13"/>
      <c r="K67" s="13"/>
      <c r="L67" s="13"/>
      <c r="M67" s="13"/>
      <c r="N67" s="13"/>
      <c r="O67" s="13"/>
      <c r="P67" s="13"/>
      <c r="Q67" s="13"/>
      <c r="R67" s="13"/>
      <c r="S67" s="13"/>
    </row>
    <row r="68" spans="1:19" ht="15.5" customHeight="1" x14ac:dyDescent="0.45">
      <c r="A68" s="13"/>
      <c r="B68" s="3" t="s">
        <v>74</v>
      </c>
      <c r="C68" s="13"/>
      <c r="D68" s="13"/>
      <c r="E68" s="13"/>
      <c r="F68" s="13"/>
      <c r="G68" s="13"/>
      <c r="H68" s="13"/>
      <c r="I68" s="13"/>
      <c r="J68" s="13"/>
      <c r="K68" s="13"/>
      <c r="L68" s="13"/>
      <c r="M68" s="13"/>
      <c r="N68" s="13"/>
      <c r="O68" s="13"/>
      <c r="P68" s="13"/>
      <c r="Q68" s="13"/>
      <c r="R68" s="13"/>
      <c r="S68" s="13"/>
    </row>
    <row r="69" spans="1:19" ht="15.5" customHeight="1" x14ac:dyDescent="0.45">
      <c r="A69" s="13"/>
      <c r="B69" s="13" t="s">
        <v>75</v>
      </c>
      <c r="C69" s="13"/>
      <c r="D69" s="13"/>
      <c r="E69" s="13"/>
      <c r="F69" s="13"/>
      <c r="G69" s="13"/>
      <c r="H69" s="13"/>
      <c r="I69" s="13"/>
      <c r="J69" s="13"/>
      <c r="K69" s="13"/>
      <c r="L69" s="13"/>
      <c r="M69" s="13"/>
      <c r="N69" s="13"/>
      <c r="O69" s="13"/>
      <c r="P69" s="13"/>
      <c r="Q69" s="13"/>
      <c r="R69" s="13"/>
      <c r="S69" s="13"/>
    </row>
    <row r="70" spans="1:19" ht="15.5" customHeight="1" x14ac:dyDescent="0.45">
      <c r="A70" s="13"/>
      <c r="B70" s="13" t="s">
        <v>76</v>
      </c>
      <c r="C70" s="13"/>
      <c r="D70" s="13"/>
      <c r="E70" s="13"/>
      <c r="F70" s="13"/>
      <c r="G70" s="13"/>
      <c r="H70" s="13"/>
      <c r="I70" s="13"/>
      <c r="J70" s="13"/>
      <c r="K70" s="13"/>
      <c r="L70" s="13"/>
      <c r="M70" s="13"/>
      <c r="N70" s="13"/>
      <c r="O70" s="13"/>
      <c r="P70" s="13"/>
      <c r="Q70" s="13"/>
      <c r="R70" s="13"/>
      <c r="S70" s="13"/>
    </row>
    <row r="71" spans="1:19" ht="18.5" x14ac:dyDescent="0.45">
      <c r="A71" s="13"/>
      <c r="B71" s="13"/>
      <c r="C71" s="13"/>
      <c r="D71" s="13"/>
      <c r="E71" s="13"/>
      <c r="F71" s="13"/>
      <c r="G71" s="13"/>
      <c r="H71" s="13"/>
      <c r="I71" s="13"/>
      <c r="J71" s="13"/>
      <c r="K71" s="13"/>
      <c r="L71" s="13"/>
      <c r="M71" s="13"/>
      <c r="N71" s="13"/>
      <c r="O71" s="13"/>
      <c r="P71" s="13"/>
      <c r="Q71" s="13"/>
      <c r="R71" s="13"/>
      <c r="S71" s="13"/>
    </row>
    <row r="72" spans="1:19" ht="18.5" x14ac:dyDescent="0.45">
      <c r="A72" s="13"/>
      <c r="B72" s="13"/>
      <c r="C72" s="13"/>
      <c r="D72" s="13"/>
      <c r="E72" s="13"/>
      <c r="F72" s="13"/>
      <c r="G72" s="3" t="s">
        <v>40</v>
      </c>
      <c r="H72" s="13"/>
      <c r="I72" s="13"/>
      <c r="J72" s="13"/>
      <c r="K72" s="13"/>
      <c r="L72" s="13"/>
      <c r="M72" s="13"/>
      <c r="N72" s="13"/>
      <c r="O72" s="13"/>
      <c r="P72" s="13"/>
      <c r="Q72" s="13"/>
      <c r="R72" s="13"/>
      <c r="S72" s="13"/>
    </row>
    <row r="73" spans="1:19" ht="18.5" x14ac:dyDescent="0.45">
      <c r="A73" s="13"/>
      <c r="B73" s="13" t="s">
        <v>42</v>
      </c>
      <c r="C73" s="13"/>
      <c r="D73" s="13"/>
      <c r="E73" s="13"/>
      <c r="F73" s="13"/>
      <c r="G73" s="13"/>
      <c r="H73" s="13"/>
      <c r="I73" s="13"/>
      <c r="J73" s="13"/>
      <c r="K73" s="13"/>
      <c r="L73" s="13"/>
      <c r="M73" s="13"/>
      <c r="N73" s="13"/>
      <c r="O73" s="13"/>
      <c r="P73" s="13"/>
      <c r="Q73" s="13"/>
      <c r="R73" s="13"/>
      <c r="S73" s="13"/>
    </row>
    <row r="74" spans="1:19" ht="18.5" x14ac:dyDescent="0.45">
      <c r="A74" s="13"/>
      <c r="B74" s="3" t="s">
        <v>44</v>
      </c>
      <c r="C74" s="13"/>
      <c r="D74" s="13"/>
      <c r="E74" s="13"/>
      <c r="F74" s="13"/>
      <c r="G74" s="13"/>
      <c r="H74" s="13"/>
      <c r="I74" s="13"/>
      <c r="J74" s="13"/>
      <c r="K74" s="13"/>
      <c r="L74" s="13"/>
      <c r="M74" s="13"/>
      <c r="N74" s="13"/>
      <c r="O74" s="13"/>
      <c r="P74" s="13"/>
      <c r="Q74" s="13"/>
      <c r="R74" s="13"/>
      <c r="S74" s="13"/>
    </row>
    <row r="75" spans="1:19" ht="18.5" x14ac:dyDescent="0.45">
      <c r="A75" s="13"/>
      <c r="B75" s="13" t="s">
        <v>43</v>
      </c>
      <c r="C75" s="13"/>
      <c r="D75" s="13"/>
      <c r="E75" s="13"/>
      <c r="F75" s="13"/>
      <c r="G75" s="13"/>
      <c r="H75" s="13"/>
      <c r="I75" s="13"/>
      <c r="J75" s="13"/>
      <c r="K75" s="13"/>
      <c r="L75" s="13"/>
      <c r="M75" s="13"/>
      <c r="N75" s="13"/>
      <c r="O75" s="13"/>
      <c r="P75" s="13"/>
      <c r="Q75" s="13"/>
      <c r="R75" s="13"/>
      <c r="S75" s="13"/>
    </row>
    <row r="76" spans="1:19" ht="18.5" x14ac:dyDescent="0.45">
      <c r="A76" s="13"/>
      <c r="B76" s="3" t="s">
        <v>45</v>
      </c>
      <c r="C76" s="13"/>
      <c r="D76" s="13"/>
      <c r="E76" s="13"/>
      <c r="F76" s="13"/>
      <c r="G76" s="13"/>
      <c r="H76" s="13"/>
      <c r="I76" s="13"/>
      <c r="J76" s="13"/>
      <c r="K76" s="13"/>
      <c r="L76" s="13"/>
      <c r="M76" s="13"/>
      <c r="N76" s="13"/>
      <c r="O76" s="13"/>
      <c r="P76" s="13"/>
      <c r="Q76" s="13"/>
      <c r="R76" s="13"/>
      <c r="S76" s="13"/>
    </row>
    <row r="77" spans="1:19" ht="18.5" x14ac:dyDescent="0.45">
      <c r="A77" s="13"/>
      <c r="B77" s="13" t="s">
        <v>93</v>
      </c>
      <c r="C77" s="13"/>
      <c r="D77" s="13"/>
      <c r="E77" s="13"/>
      <c r="F77" s="13"/>
      <c r="G77" s="13"/>
      <c r="H77" s="13"/>
      <c r="I77" s="13"/>
      <c r="J77" s="13"/>
      <c r="K77" s="13"/>
      <c r="L77" s="13"/>
      <c r="M77" s="13"/>
      <c r="N77" s="13"/>
      <c r="O77" s="13"/>
      <c r="P77" s="13"/>
      <c r="Q77" s="13"/>
      <c r="R77" s="13"/>
      <c r="S77" s="13"/>
    </row>
    <row r="78" spans="1:19" ht="18.5" x14ac:dyDescent="0.45">
      <c r="A78" s="13"/>
      <c r="B78" s="3" t="s">
        <v>47</v>
      </c>
      <c r="C78" s="13"/>
      <c r="D78" s="13"/>
      <c r="E78" s="13"/>
      <c r="F78" s="13"/>
      <c r="G78" s="13"/>
      <c r="H78" s="13"/>
      <c r="I78" s="13"/>
      <c r="J78" s="13"/>
      <c r="K78" s="13"/>
      <c r="L78" s="13"/>
      <c r="M78" s="13"/>
      <c r="N78" s="13"/>
      <c r="O78" s="13"/>
      <c r="P78" s="13"/>
      <c r="Q78" s="13"/>
      <c r="R78" s="13"/>
      <c r="S78" s="13"/>
    </row>
    <row r="79" spans="1:19" ht="18.5" x14ac:dyDescent="0.45">
      <c r="A79" s="13"/>
      <c r="B79" s="13" t="s">
        <v>46</v>
      </c>
      <c r="C79" s="13"/>
      <c r="D79" s="13"/>
      <c r="E79" s="13"/>
      <c r="F79" s="13"/>
      <c r="G79" s="13"/>
      <c r="H79" s="13"/>
      <c r="I79" s="13"/>
      <c r="J79" s="13"/>
      <c r="K79" s="13"/>
      <c r="L79" s="13"/>
      <c r="M79" s="13"/>
      <c r="N79" s="13"/>
      <c r="O79" s="13"/>
      <c r="P79" s="13"/>
      <c r="Q79" s="13"/>
      <c r="R79" s="13"/>
      <c r="S79" s="13"/>
    </row>
    <row r="80" spans="1:19" ht="18.5" x14ac:dyDescent="0.45">
      <c r="A80" s="13"/>
      <c r="B80" s="15" t="s">
        <v>70</v>
      </c>
      <c r="C80" s="13"/>
      <c r="D80" s="13"/>
      <c r="E80" s="13"/>
      <c r="F80" s="13"/>
      <c r="G80" s="13"/>
      <c r="H80" s="13"/>
      <c r="I80" s="13"/>
      <c r="J80" s="13"/>
      <c r="K80" s="13"/>
      <c r="L80" s="13"/>
      <c r="M80" s="13"/>
      <c r="N80" s="13"/>
      <c r="O80" s="13"/>
      <c r="P80" s="13"/>
      <c r="Q80" s="13"/>
      <c r="R80" s="13"/>
      <c r="S80" s="13"/>
    </row>
    <row r="81" spans="1:19" ht="18.5" x14ac:dyDescent="0.45">
      <c r="A81" s="13"/>
      <c r="B81" s="13" t="s">
        <v>71</v>
      </c>
      <c r="C81" s="13"/>
      <c r="D81" s="13"/>
      <c r="E81" s="13"/>
      <c r="F81" s="13"/>
      <c r="G81" s="13"/>
      <c r="H81" s="13"/>
      <c r="I81" s="13"/>
      <c r="J81" s="13"/>
      <c r="K81" s="13"/>
      <c r="L81" s="13"/>
      <c r="M81" s="13"/>
      <c r="N81" s="13"/>
      <c r="O81" s="13"/>
      <c r="P81" s="13"/>
      <c r="Q81" s="13"/>
      <c r="R81" s="13"/>
      <c r="S81" s="13"/>
    </row>
    <row r="82" spans="1:19" ht="18.5" x14ac:dyDescent="0.45">
      <c r="A82" s="13"/>
      <c r="B82" s="13" t="s">
        <v>211</v>
      </c>
      <c r="C82" s="13"/>
      <c r="D82" s="13"/>
      <c r="E82" s="13"/>
      <c r="F82" s="13"/>
      <c r="G82" s="13"/>
      <c r="H82" s="13"/>
      <c r="I82" s="13"/>
      <c r="J82" s="13"/>
      <c r="K82" s="13"/>
      <c r="L82" s="13"/>
      <c r="M82" s="13"/>
      <c r="N82" s="13"/>
      <c r="O82" s="13"/>
      <c r="P82" s="13"/>
      <c r="Q82" s="13"/>
      <c r="R82" s="13"/>
      <c r="S82" s="13"/>
    </row>
    <row r="83" spans="1:19" ht="18.5" x14ac:dyDescent="0.45">
      <c r="A83" s="13"/>
      <c r="B83" s="13" t="s">
        <v>212</v>
      </c>
      <c r="C83" s="13"/>
      <c r="D83" s="13"/>
      <c r="E83" s="13"/>
      <c r="F83" s="13"/>
      <c r="G83" s="13"/>
      <c r="H83" s="13"/>
      <c r="I83" s="13"/>
      <c r="J83" s="13"/>
      <c r="K83" s="13"/>
      <c r="L83" s="13"/>
      <c r="M83" s="13"/>
      <c r="N83" s="13"/>
      <c r="O83" s="13"/>
      <c r="P83" s="13"/>
      <c r="Q83" s="13"/>
      <c r="R83" s="13"/>
      <c r="S83" s="13"/>
    </row>
    <row r="84" spans="1:19" ht="18.5" x14ac:dyDescent="0.45">
      <c r="A84" s="13"/>
      <c r="B84" s="13" t="s">
        <v>72</v>
      </c>
      <c r="C84" s="13"/>
      <c r="D84" s="13"/>
      <c r="E84" s="13"/>
      <c r="F84" s="13"/>
      <c r="G84" s="13"/>
      <c r="H84" s="13"/>
      <c r="I84" s="13"/>
      <c r="J84" s="13"/>
      <c r="K84" s="13"/>
      <c r="L84" s="13"/>
      <c r="M84" s="13"/>
      <c r="N84" s="13"/>
      <c r="O84" s="13"/>
      <c r="P84" s="13"/>
      <c r="Q84" s="13"/>
      <c r="R84" s="13"/>
      <c r="S84" s="13"/>
    </row>
    <row r="85" spans="1:19" ht="18.5" x14ac:dyDescent="0.45">
      <c r="A85" s="13"/>
      <c r="B85" s="3" t="s">
        <v>92</v>
      </c>
      <c r="C85" s="13"/>
      <c r="D85" s="13"/>
      <c r="E85" s="13"/>
      <c r="F85" s="13"/>
      <c r="G85" s="13"/>
      <c r="H85" s="13"/>
      <c r="I85" s="13"/>
      <c r="J85" s="13"/>
      <c r="K85" s="13"/>
      <c r="L85" s="13"/>
      <c r="M85" s="13"/>
      <c r="N85" s="13"/>
      <c r="O85" s="13"/>
      <c r="P85" s="13"/>
      <c r="Q85" s="13"/>
      <c r="R85" s="13"/>
      <c r="S85" s="13"/>
    </row>
    <row r="86" spans="1:19" ht="18.5" x14ac:dyDescent="0.45">
      <c r="A86" s="13"/>
      <c r="B86" s="13" t="s">
        <v>94</v>
      </c>
      <c r="C86" s="13"/>
      <c r="D86" s="13"/>
      <c r="E86" s="13"/>
      <c r="F86" s="13"/>
      <c r="G86" s="13"/>
      <c r="H86" s="13"/>
      <c r="I86" s="13"/>
      <c r="J86" s="13"/>
      <c r="K86" s="13"/>
      <c r="L86" s="13"/>
      <c r="M86" s="13"/>
      <c r="N86" s="13"/>
      <c r="O86" s="13"/>
      <c r="P86" s="13"/>
      <c r="Q86" s="13"/>
      <c r="R86" s="13"/>
      <c r="S86" s="13"/>
    </row>
    <row r="87" spans="1:19" ht="18.5" x14ac:dyDescent="0.45">
      <c r="A87" s="13"/>
      <c r="B87" s="13" t="s">
        <v>95</v>
      </c>
      <c r="C87" s="13"/>
      <c r="D87" s="13"/>
      <c r="E87" s="13"/>
      <c r="F87" s="13"/>
      <c r="G87" s="13"/>
      <c r="H87" s="13"/>
      <c r="I87" s="13"/>
      <c r="J87" s="13"/>
      <c r="K87" s="13"/>
      <c r="L87" s="13"/>
      <c r="M87" s="13"/>
      <c r="N87" s="13"/>
      <c r="O87" s="13"/>
      <c r="P87" s="13"/>
      <c r="Q87" s="13"/>
      <c r="R87" s="13"/>
      <c r="S87" s="13"/>
    </row>
    <row r="88" spans="1:19" ht="18.5" x14ac:dyDescent="0.45">
      <c r="A88" s="13"/>
      <c r="B88" s="13"/>
      <c r="C88" s="3" t="s">
        <v>96</v>
      </c>
      <c r="D88" s="13"/>
      <c r="E88" s="13"/>
      <c r="F88" s="13"/>
      <c r="G88" s="13"/>
      <c r="H88" s="13"/>
      <c r="I88" s="13"/>
      <c r="J88" s="13"/>
      <c r="K88" s="13"/>
      <c r="L88" s="13"/>
      <c r="M88" s="13"/>
      <c r="N88" s="13"/>
      <c r="O88" s="13"/>
      <c r="P88" s="13"/>
      <c r="Q88" s="13"/>
      <c r="R88" s="13"/>
      <c r="S88" s="13"/>
    </row>
    <row r="89" spans="1:19" ht="18.5" x14ac:dyDescent="0.45">
      <c r="A89" s="13"/>
      <c r="B89" s="13"/>
      <c r="C89" s="17" t="s">
        <v>97</v>
      </c>
      <c r="D89" s="13"/>
      <c r="E89" s="13"/>
      <c r="F89" s="13"/>
      <c r="G89" s="13"/>
      <c r="H89" s="13"/>
      <c r="I89" s="13"/>
      <c r="J89" s="13"/>
      <c r="K89" s="13"/>
      <c r="L89" s="13"/>
      <c r="M89" s="13"/>
      <c r="N89" s="13"/>
      <c r="O89" s="13"/>
      <c r="P89" s="13"/>
      <c r="Q89" s="13"/>
      <c r="R89" s="13"/>
      <c r="S89" s="13"/>
    </row>
    <row r="90" spans="1:19" ht="18.5" x14ac:dyDescent="0.45">
      <c r="A90" s="13"/>
      <c r="B90" s="13"/>
      <c r="C90" s="3" t="s">
        <v>98</v>
      </c>
      <c r="D90" s="13"/>
      <c r="E90" s="13"/>
      <c r="F90" s="13"/>
      <c r="G90" s="13"/>
      <c r="H90" s="13"/>
      <c r="I90" s="13"/>
      <c r="J90" s="13"/>
      <c r="K90" s="13"/>
      <c r="L90" s="13"/>
      <c r="M90" s="13"/>
      <c r="N90" s="13"/>
      <c r="O90" s="13"/>
      <c r="P90" s="13"/>
      <c r="Q90" s="13"/>
      <c r="R90" s="13"/>
      <c r="S90" s="13"/>
    </row>
    <row r="91" spans="1:19" ht="18.5" x14ac:dyDescent="0.45">
      <c r="A91" s="13"/>
      <c r="B91" s="13"/>
      <c r="C91" s="17" t="s">
        <v>99</v>
      </c>
      <c r="D91" s="13"/>
      <c r="E91" s="13"/>
      <c r="F91" s="13"/>
      <c r="G91" s="13"/>
      <c r="H91" s="13"/>
      <c r="I91" s="13"/>
      <c r="J91" s="13"/>
      <c r="K91" s="13"/>
      <c r="L91" s="13"/>
      <c r="M91" s="13"/>
      <c r="N91" s="13"/>
      <c r="O91" s="13"/>
      <c r="P91" s="13"/>
      <c r="Q91" s="13"/>
      <c r="R91" s="13"/>
      <c r="S91" s="13"/>
    </row>
    <row r="92" spans="1:19" ht="18.5" x14ac:dyDescent="0.45">
      <c r="A92" s="13"/>
      <c r="B92" s="13"/>
      <c r="C92" s="3" t="s">
        <v>100</v>
      </c>
      <c r="D92" s="13"/>
      <c r="E92" s="13"/>
      <c r="F92" s="13"/>
      <c r="G92" s="13"/>
      <c r="H92" s="13"/>
      <c r="I92" s="13"/>
      <c r="J92" s="13"/>
      <c r="K92" s="13"/>
      <c r="L92" s="13"/>
      <c r="M92" s="13"/>
      <c r="N92" s="13"/>
      <c r="O92" s="13"/>
      <c r="P92" s="13"/>
      <c r="Q92" s="13"/>
      <c r="R92" s="13"/>
      <c r="S92" s="13"/>
    </row>
    <row r="93" spans="1:19" ht="18.5" x14ac:dyDescent="0.45">
      <c r="A93" s="13"/>
      <c r="B93" s="13"/>
      <c r="C93" s="17" t="s">
        <v>101</v>
      </c>
      <c r="D93" s="13"/>
      <c r="E93" s="13"/>
      <c r="F93" s="13"/>
      <c r="G93" s="13"/>
      <c r="H93" s="13"/>
      <c r="I93" s="13"/>
      <c r="J93" s="13"/>
      <c r="K93" s="13"/>
      <c r="L93" s="13"/>
      <c r="M93" s="13"/>
      <c r="N93" s="13"/>
      <c r="O93" s="13"/>
      <c r="P93" s="13"/>
      <c r="Q93" s="13"/>
      <c r="R93" s="13"/>
      <c r="S93" s="13"/>
    </row>
    <row r="94" spans="1:19" ht="18.5" x14ac:dyDescent="0.45">
      <c r="A94" s="13"/>
      <c r="B94" s="13"/>
      <c r="C94" s="3" t="s">
        <v>102</v>
      </c>
      <c r="D94" s="13"/>
      <c r="E94" s="13"/>
      <c r="F94" s="13"/>
      <c r="G94" s="13"/>
      <c r="H94" s="13"/>
      <c r="I94" s="13"/>
      <c r="J94" s="13"/>
      <c r="K94" s="13"/>
      <c r="L94" s="13"/>
      <c r="M94" s="13"/>
      <c r="N94" s="13"/>
      <c r="O94" s="13"/>
      <c r="P94" s="13"/>
      <c r="Q94" s="13"/>
      <c r="R94" s="13"/>
      <c r="S94" s="13"/>
    </row>
    <row r="95" spans="1:19" ht="18.5" x14ac:dyDescent="0.45">
      <c r="A95" s="13"/>
      <c r="B95" s="13"/>
      <c r="C95" s="17" t="s">
        <v>103</v>
      </c>
      <c r="D95" s="13"/>
      <c r="E95" s="13"/>
      <c r="F95" s="13"/>
      <c r="G95" s="13"/>
      <c r="H95" s="13"/>
      <c r="I95" s="13"/>
      <c r="J95" s="13"/>
      <c r="K95" s="13"/>
      <c r="L95" s="13"/>
      <c r="M95" s="13"/>
      <c r="N95" s="13"/>
      <c r="O95" s="13"/>
      <c r="P95" s="13"/>
      <c r="Q95" s="13"/>
      <c r="R95" s="13"/>
      <c r="S95" s="13"/>
    </row>
    <row r="96" spans="1:19" ht="18.5" x14ac:dyDescent="0.45">
      <c r="A96" s="13"/>
      <c r="B96" s="18" t="s">
        <v>106</v>
      </c>
      <c r="C96" s="13"/>
      <c r="D96" s="13"/>
      <c r="E96" s="13"/>
      <c r="F96" s="13"/>
      <c r="G96" s="13"/>
      <c r="H96" s="13"/>
      <c r="I96" s="13"/>
      <c r="J96" s="13"/>
      <c r="K96" s="13"/>
      <c r="L96" s="13"/>
      <c r="M96" s="13"/>
      <c r="N96" s="13"/>
      <c r="O96" s="13"/>
      <c r="P96" s="13"/>
      <c r="Q96" s="13"/>
      <c r="R96" s="13"/>
      <c r="S96" s="13"/>
    </row>
    <row r="97" spans="1:19" ht="18.5" x14ac:dyDescent="0.45">
      <c r="A97" s="13"/>
      <c r="B97" s="19" t="s">
        <v>107</v>
      </c>
      <c r="C97" s="13"/>
      <c r="D97" s="13"/>
      <c r="E97" s="13"/>
      <c r="F97" s="13"/>
      <c r="G97" s="13"/>
      <c r="H97" s="13"/>
      <c r="I97" s="13"/>
      <c r="J97" s="13"/>
      <c r="K97" s="13"/>
      <c r="L97" s="13"/>
      <c r="M97" s="13"/>
      <c r="N97" s="13"/>
      <c r="O97" s="13"/>
      <c r="P97" s="13"/>
      <c r="Q97" s="13"/>
      <c r="R97" s="13"/>
      <c r="S97" s="13"/>
    </row>
    <row r="98" spans="1:19" ht="18.5" x14ac:dyDescent="0.45">
      <c r="A98" s="13"/>
      <c r="B98" s="17" t="s">
        <v>108</v>
      </c>
      <c r="C98" s="13"/>
      <c r="D98" s="13"/>
      <c r="E98" s="13"/>
      <c r="F98" s="13"/>
      <c r="G98" s="13"/>
      <c r="H98" s="13"/>
      <c r="I98" s="13"/>
      <c r="J98" s="13"/>
      <c r="K98" s="13"/>
      <c r="L98" s="13"/>
      <c r="M98" s="13"/>
      <c r="N98" s="13"/>
      <c r="O98" s="13"/>
      <c r="P98" s="13"/>
      <c r="Q98" s="13"/>
      <c r="R98" s="13"/>
      <c r="S98" s="13"/>
    </row>
    <row r="99" spans="1:19" ht="18.5" x14ac:dyDescent="0.45">
      <c r="A99" s="13"/>
      <c r="B99" s="13"/>
      <c r="C99" s="3" t="s">
        <v>242</v>
      </c>
      <c r="D99" s="13"/>
      <c r="E99" s="13"/>
      <c r="F99" s="13"/>
      <c r="G99" s="13"/>
      <c r="H99" s="13"/>
      <c r="I99" s="13"/>
      <c r="J99" s="13"/>
      <c r="K99" s="13"/>
      <c r="L99" s="13"/>
      <c r="M99" s="13"/>
      <c r="N99" s="13"/>
      <c r="O99" s="13"/>
      <c r="P99" s="13"/>
      <c r="Q99" s="13"/>
      <c r="R99" s="13"/>
      <c r="S99" s="13"/>
    </row>
    <row r="100" spans="1:19" ht="18.5" x14ac:dyDescent="0.45">
      <c r="A100" s="13"/>
      <c r="B100" s="13"/>
      <c r="C100" s="3" t="s">
        <v>243</v>
      </c>
      <c r="D100" s="13"/>
      <c r="E100" s="13"/>
      <c r="F100" s="13"/>
      <c r="G100" s="13"/>
      <c r="H100" s="13"/>
      <c r="I100" s="13"/>
      <c r="J100" s="13"/>
      <c r="K100" s="13"/>
      <c r="L100" s="13"/>
      <c r="M100" s="13"/>
      <c r="N100" s="13"/>
      <c r="O100" s="13"/>
      <c r="P100" s="13"/>
      <c r="Q100" s="13"/>
      <c r="R100" s="13"/>
      <c r="S100" s="13"/>
    </row>
    <row r="101" spans="1:19" ht="18.5" x14ac:dyDescent="0.45">
      <c r="A101" s="13"/>
      <c r="B101" s="13"/>
      <c r="C101" s="3" t="s">
        <v>244</v>
      </c>
      <c r="D101" s="13"/>
      <c r="E101" s="13"/>
      <c r="F101" s="13"/>
      <c r="G101" s="13"/>
      <c r="H101" s="13"/>
      <c r="I101" s="13"/>
      <c r="J101" s="13"/>
      <c r="K101" s="13"/>
      <c r="L101" s="13"/>
      <c r="M101" s="13"/>
      <c r="N101" s="13"/>
      <c r="O101" s="13"/>
      <c r="P101" s="13"/>
      <c r="Q101" s="13"/>
      <c r="R101" s="13"/>
      <c r="S101" s="13"/>
    </row>
    <row r="102" spans="1:19" ht="18.5" x14ac:dyDescent="0.45">
      <c r="A102" s="13"/>
      <c r="B102" s="13"/>
      <c r="C102" s="3" t="s">
        <v>245</v>
      </c>
      <c r="D102" s="13"/>
      <c r="E102" s="13"/>
      <c r="F102" s="13"/>
      <c r="G102" s="13"/>
      <c r="H102" s="13"/>
      <c r="I102" s="13"/>
      <c r="J102" s="13"/>
      <c r="K102" s="13"/>
      <c r="L102" s="13"/>
      <c r="M102" s="13"/>
      <c r="N102" s="13"/>
      <c r="O102" s="13"/>
      <c r="P102" s="13"/>
      <c r="Q102" s="13"/>
      <c r="R102" s="13"/>
      <c r="S102" s="13"/>
    </row>
    <row r="103" spans="1:19" ht="18.5" x14ac:dyDescent="0.45">
      <c r="A103" s="13"/>
      <c r="B103" s="3" t="s">
        <v>131</v>
      </c>
      <c r="C103" s="13"/>
      <c r="D103" s="13"/>
      <c r="E103" s="13"/>
      <c r="F103" s="13"/>
      <c r="G103" s="13"/>
      <c r="H103" s="13"/>
      <c r="I103" s="13"/>
      <c r="J103" s="13"/>
      <c r="K103" s="13"/>
      <c r="L103" s="13"/>
      <c r="M103" s="13"/>
      <c r="N103" s="13"/>
      <c r="O103" s="13"/>
      <c r="P103" s="13"/>
      <c r="Q103" s="13"/>
      <c r="R103" s="13"/>
      <c r="S103" s="13"/>
    </row>
    <row r="104" spans="1:19" ht="18.5" x14ac:dyDescent="0.45">
      <c r="A104" s="13"/>
      <c r="B104" s="13" t="s">
        <v>169</v>
      </c>
      <c r="C104" s="13"/>
      <c r="D104" s="13"/>
      <c r="E104" s="13"/>
      <c r="F104" s="13"/>
      <c r="G104" s="13"/>
      <c r="H104" s="13"/>
      <c r="I104" s="13"/>
      <c r="J104" s="13"/>
      <c r="K104" s="13"/>
      <c r="L104" s="13"/>
      <c r="M104" s="13"/>
      <c r="N104" s="13"/>
      <c r="O104" s="13"/>
      <c r="P104" s="13"/>
      <c r="Q104" s="13"/>
      <c r="R104" s="13"/>
      <c r="S104" s="13"/>
    </row>
    <row r="105" spans="1:19" ht="18.5" x14ac:dyDescent="0.45">
      <c r="A105" s="13"/>
      <c r="B105" s="13" t="s">
        <v>246</v>
      </c>
      <c r="C105" s="13"/>
      <c r="D105" s="13"/>
      <c r="E105" s="13"/>
      <c r="F105" s="13"/>
      <c r="G105" s="13"/>
      <c r="H105" s="13"/>
      <c r="I105" s="13"/>
      <c r="J105" s="13"/>
      <c r="K105" s="13"/>
      <c r="L105" s="13"/>
      <c r="M105" s="13"/>
      <c r="N105" s="13"/>
      <c r="O105" s="13"/>
      <c r="P105" s="13"/>
      <c r="Q105" s="13"/>
      <c r="R105" s="13"/>
      <c r="S105" s="13"/>
    </row>
    <row r="106" spans="1:19" ht="18.5" x14ac:dyDescent="0.45">
      <c r="A106" s="13"/>
      <c r="B106" s="13" t="s">
        <v>247</v>
      </c>
      <c r="C106" s="13"/>
      <c r="D106" s="13"/>
      <c r="E106" s="13"/>
      <c r="F106" s="13"/>
      <c r="G106" s="13"/>
      <c r="H106" s="13"/>
      <c r="I106" s="13"/>
      <c r="J106" s="13"/>
      <c r="K106" s="13"/>
      <c r="L106" s="13"/>
      <c r="M106" s="13"/>
      <c r="N106" s="13"/>
      <c r="O106" s="13"/>
      <c r="P106" s="13"/>
      <c r="Q106" s="13"/>
      <c r="R106" s="13"/>
      <c r="S106" s="13"/>
    </row>
    <row r="107" spans="1:19" ht="18.5" x14ac:dyDescent="0.45">
      <c r="A107" s="13"/>
      <c r="B107" s="13" t="s">
        <v>248</v>
      </c>
      <c r="C107" s="13"/>
      <c r="D107" s="13"/>
      <c r="E107" s="13"/>
      <c r="F107" s="13"/>
      <c r="G107" s="13"/>
      <c r="H107" s="13"/>
      <c r="I107" s="13"/>
      <c r="J107" s="13"/>
      <c r="K107" s="13"/>
      <c r="L107" s="13"/>
      <c r="M107" s="13"/>
      <c r="N107" s="13"/>
      <c r="O107" s="13"/>
      <c r="P107" s="13"/>
      <c r="Q107" s="13"/>
      <c r="R107" s="13"/>
      <c r="S107" s="13"/>
    </row>
    <row r="108" spans="1:19" ht="18.5" x14ac:dyDescent="0.45">
      <c r="A108" s="13"/>
      <c r="B108" s="13" t="s">
        <v>249</v>
      </c>
      <c r="C108" s="13"/>
      <c r="D108" s="13"/>
      <c r="E108" s="13"/>
      <c r="F108" s="13"/>
      <c r="G108" s="13"/>
      <c r="H108" s="13"/>
      <c r="I108" s="13"/>
      <c r="J108" s="13"/>
      <c r="K108" s="13"/>
      <c r="L108" s="13"/>
      <c r="M108" s="13"/>
      <c r="N108" s="13"/>
      <c r="O108" s="13"/>
      <c r="P108" s="13"/>
      <c r="Q108" s="13"/>
      <c r="R108" s="13"/>
      <c r="S108" s="13"/>
    </row>
    <row r="109" spans="1:19" ht="18.5" x14ac:dyDescent="0.45">
      <c r="A109" s="13"/>
      <c r="B109" s="13" t="s">
        <v>127</v>
      </c>
      <c r="C109" s="13"/>
      <c r="D109" s="13"/>
      <c r="E109" s="13"/>
      <c r="F109" s="13"/>
      <c r="G109" s="13"/>
      <c r="H109" s="13"/>
      <c r="I109" s="13"/>
      <c r="J109" s="13"/>
      <c r="K109" s="13"/>
      <c r="L109" s="13"/>
      <c r="M109" s="13"/>
      <c r="N109" s="13"/>
      <c r="O109" s="13"/>
      <c r="P109" s="13"/>
      <c r="Q109" s="13"/>
      <c r="R109" s="13"/>
      <c r="S109" s="13"/>
    </row>
    <row r="110" spans="1:19" ht="18.5" x14ac:dyDescent="0.45">
      <c r="A110" s="13"/>
      <c r="B110" s="13"/>
      <c r="C110" s="13"/>
      <c r="D110" s="13"/>
      <c r="E110" s="13"/>
      <c r="F110" s="13"/>
      <c r="G110" s="13"/>
      <c r="H110" s="13"/>
      <c r="I110" s="13"/>
      <c r="J110" s="13"/>
      <c r="K110" s="13"/>
      <c r="L110" s="13"/>
      <c r="M110" s="13"/>
      <c r="N110" s="13"/>
      <c r="O110" s="13"/>
      <c r="P110" s="13"/>
      <c r="Q110" s="13"/>
      <c r="R110" s="13"/>
      <c r="S110" s="13"/>
    </row>
    <row r="111" spans="1:19" ht="18.5" x14ac:dyDescent="0.45">
      <c r="A111" s="13"/>
      <c r="B111" s="13"/>
      <c r="C111" s="13"/>
      <c r="D111" s="13"/>
      <c r="E111" s="13"/>
      <c r="F111" s="13"/>
      <c r="G111" s="3" t="s">
        <v>116</v>
      </c>
      <c r="H111" s="13"/>
      <c r="I111" s="13"/>
      <c r="J111" s="13"/>
      <c r="K111" s="13"/>
      <c r="L111" s="13"/>
      <c r="M111" s="13"/>
      <c r="N111" s="13"/>
      <c r="O111" s="13"/>
      <c r="P111" s="13"/>
      <c r="Q111" s="13"/>
      <c r="R111" s="13"/>
      <c r="S111" s="13"/>
    </row>
    <row r="112" spans="1:19" ht="18.5" x14ac:dyDescent="0.45">
      <c r="A112" s="13"/>
      <c r="B112" s="19" t="s">
        <v>120</v>
      </c>
      <c r="C112" s="13"/>
      <c r="D112" s="13"/>
      <c r="E112" s="13"/>
      <c r="F112" s="13"/>
      <c r="G112" s="13"/>
      <c r="H112" s="13"/>
      <c r="I112" s="13"/>
      <c r="J112" s="13"/>
      <c r="K112" s="13"/>
      <c r="L112" s="13"/>
      <c r="M112" s="13"/>
      <c r="N112" s="13"/>
      <c r="O112" s="13"/>
      <c r="P112" s="13"/>
      <c r="Q112" s="13"/>
      <c r="R112" s="13"/>
      <c r="S112" s="13"/>
    </row>
    <row r="113" spans="1:19" ht="18.5" x14ac:dyDescent="0.45">
      <c r="A113" s="13"/>
      <c r="B113" s="19" t="s">
        <v>121</v>
      </c>
      <c r="C113" s="13"/>
      <c r="D113" s="13"/>
      <c r="E113" s="13"/>
      <c r="F113" s="13"/>
      <c r="G113" s="13"/>
      <c r="H113" s="13"/>
      <c r="I113" s="13"/>
      <c r="J113" s="13"/>
      <c r="K113" s="13"/>
      <c r="L113" s="13"/>
      <c r="M113" s="13"/>
      <c r="N113" s="13"/>
      <c r="O113" s="13"/>
      <c r="P113" s="13"/>
      <c r="Q113" s="13"/>
      <c r="R113" s="13"/>
      <c r="S113" s="13"/>
    </row>
    <row r="114" spans="1:19" ht="18.5" x14ac:dyDescent="0.45">
      <c r="A114" s="13"/>
      <c r="B114" s="19" t="s">
        <v>117</v>
      </c>
      <c r="C114" s="13"/>
      <c r="D114" s="13"/>
      <c r="E114" s="13"/>
      <c r="F114" s="13"/>
      <c r="G114" s="13"/>
      <c r="H114" s="13"/>
      <c r="I114" s="13"/>
      <c r="J114" s="13"/>
      <c r="K114" s="13"/>
      <c r="L114" s="13"/>
      <c r="M114" s="13"/>
      <c r="N114" s="13"/>
      <c r="O114" s="13"/>
      <c r="P114" s="13"/>
      <c r="Q114" s="13"/>
      <c r="R114" s="13"/>
      <c r="S114" s="13"/>
    </row>
    <row r="115" spans="1:19" ht="18.5" x14ac:dyDescent="0.45">
      <c r="A115" s="13"/>
      <c r="B115" s="19" t="s">
        <v>118</v>
      </c>
      <c r="C115" s="13"/>
      <c r="D115" s="13"/>
      <c r="E115" s="13"/>
      <c r="F115" s="13"/>
      <c r="G115" s="13"/>
      <c r="H115" s="13"/>
      <c r="I115" s="13"/>
      <c r="J115" s="13"/>
      <c r="K115" s="13"/>
      <c r="L115" s="13"/>
      <c r="M115" s="13"/>
      <c r="N115" s="13"/>
      <c r="O115" s="13"/>
      <c r="P115" s="13"/>
      <c r="Q115" s="13"/>
      <c r="R115" s="13"/>
      <c r="S115" s="13"/>
    </row>
    <row r="116" spans="1:19" ht="18.5" x14ac:dyDescent="0.45">
      <c r="A116" s="13"/>
      <c r="B116" s="19" t="s">
        <v>119</v>
      </c>
      <c r="C116" s="13"/>
      <c r="D116" s="13"/>
      <c r="E116" s="13"/>
      <c r="F116" s="13"/>
      <c r="G116" s="13"/>
      <c r="H116" s="13"/>
      <c r="I116" s="13"/>
      <c r="J116" s="13"/>
      <c r="K116" s="13"/>
      <c r="L116" s="13"/>
      <c r="M116" s="13"/>
      <c r="N116" s="13"/>
      <c r="O116" s="13"/>
      <c r="P116" s="13"/>
      <c r="Q116" s="13"/>
      <c r="R116" s="13"/>
      <c r="S116" s="13"/>
    </row>
    <row r="117" spans="1:19" ht="18.5" x14ac:dyDescent="0.45">
      <c r="A117" s="13"/>
      <c r="B117" s="13" t="s">
        <v>181</v>
      </c>
      <c r="C117" s="13"/>
      <c r="D117" s="13"/>
      <c r="E117" s="13"/>
      <c r="F117" s="13"/>
      <c r="G117" s="13"/>
      <c r="H117" s="13"/>
      <c r="I117" s="13"/>
      <c r="J117" s="13"/>
      <c r="K117" s="13"/>
      <c r="L117" s="13"/>
      <c r="M117" s="13"/>
      <c r="N117" s="13"/>
      <c r="O117" s="13"/>
      <c r="P117" s="13"/>
      <c r="Q117" s="13"/>
      <c r="R117" s="13"/>
      <c r="S117" s="13"/>
    </row>
    <row r="118" spans="1:19" ht="18.5" x14ac:dyDescent="0.45">
      <c r="A118" s="13"/>
      <c r="B118" s="19" t="s">
        <v>182</v>
      </c>
      <c r="C118" s="13"/>
      <c r="D118" s="13"/>
      <c r="E118" s="13"/>
      <c r="F118" s="13"/>
      <c r="G118" s="13"/>
      <c r="H118" s="13"/>
      <c r="I118" s="13"/>
      <c r="J118" s="13"/>
      <c r="K118" s="13"/>
      <c r="L118" s="13"/>
      <c r="M118" s="13"/>
      <c r="N118" s="13"/>
      <c r="O118" s="13"/>
      <c r="P118" s="13"/>
      <c r="Q118" s="13"/>
      <c r="R118" s="13"/>
      <c r="S118" s="13"/>
    </row>
    <row r="119" spans="1:19" ht="18.5" x14ac:dyDescent="0.45">
      <c r="A119" s="13"/>
      <c r="B119" s="17" t="s">
        <v>183</v>
      </c>
      <c r="C119" s="13"/>
      <c r="D119" s="13"/>
      <c r="E119" s="13"/>
      <c r="F119" s="13"/>
      <c r="G119" s="13"/>
      <c r="H119" s="13"/>
      <c r="I119" s="13"/>
      <c r="J119" s="13"/>
      <c r="K119" s="13"/>
      <c r="L119" s="13"/>
      <c r="M119" s="13"/>
      <c r="N119" s="13"/>
      <c r="O119" s="13"/>
      <c r="P119" s="13"/>
      <c r="Q119" s="13"/>
      <c r="R119" s="13"/>
      <c r="S119" s="13"/>
    </row>
    <row r="120" spans="1:19" ht="18.5" x14ac:dyDescent="0.45">
      <c r="A120" s="13"/>
      <c r="B120" s="3" t="s">
        <v>187</v>
      </c>
      <c r="C120" s="13"/>
      <c r="D120" s="13"/>
      <c r="E120" s="13"/>
      <c r="F120" s="13"/>
      <c r="G120" s="13"/>
      <c r="H120" s="13"/>
      <c r="I120" s="13"/>
      <c r="J120" s="13"/>
      <c r="K120" s="13"/>
      <c r="L120" s="13"/>
      <c r="M120" s="13"/>
      <c r="N120" s="13"/>
      <c r="O120" s="13"/>
      <c r="P120" s="13"/>
      <c r="Q120" s="13"/>
      <c r="R120" s="13"/>
      <c r="S120" s="13"/>
    </row>
    <row r="121" spans="1:19" ht="18.5" x14ac:dyDescent="0.45">
      <c r="A121" s="13"/>
      <c r="B121" s="17" t="s">
        <v>184</v>
      </c>
      <c r="C121" s="13"/>
      <c r="D121" s="13"/>
      <c r="E121" s="13"/>
      <c r="F121" s="13"/>
      <c r="G121" s="13"/>
      <c r="H121" s="13"/>
      <c r="I121" s="13"/>
      <c r="J121" s="13"/>
      <c r="K121" s="13"/>
      <c r="L121" s="13"/>
      <c r="M121" s="13"/>
      <c r="N121" s="13"/>
      <c r="O121" s="13"/>
      <c r="P121" s="13"/>
      <c r="Q121" s="13"/>
      <c r="R121" s="13"/>
      <c r="S121" s="13"/>
    </row>
    <row r="122" spans="1:19" ht="18.5" x14ac:dyDescent="0.45">
      <c r="A122" s="13"/>
      <c r="B122" s="17" t="s">
        <v>185</v>
      </c>
      <c r="C122" s="13"/>
      <c r="D122" s="13"/>
      <c r="E122" s="13"/>
      <c r="F122" s="13"/>
      <c r="G122" s="13"/>
      <c r="H122" s="13"/>
      <c r="I122" s="13"/>
      <c r="J122" s="13"/>
      <c r="K122" s="13"/>
      <c r="L122" s="13"/>
      <c r="M122" s="13"/>
      <c r="N122" s="13"/>
      <c r="O122" s="13"/>
      <c r="P122" s="13"/>
      <c r="Q122" s="13"/>
      <c r="R122" s="13"/>
      <c r="S122" s="13"/>
    </row>
    <row r="123" spans="1:19" ht="18.5" x14ac:dyDescent="0.45">
      <c r="A123" s="13"/>
      <c r="B123" s="17" t="s">
        <v>186</v>
      </c>
      <c r="C123" s="13"/>
      <c r="D123" s="13"/>
      <c r="E123" s="13"/>
      <c r="F123" s="13"/>
      <c r="G123" s="13"/>
      <c r="H123" s="13"/>
      <c r="I123" s="13"/>
      <c r="J123" s="13"/>
      <c r="K123" s="13"/>
      <c r="L123" s="13"/>
      <c r="M123" s="13"/>
      <c r="N123" s="13"/>
      <c r="O123" s="13"/>
      <c r="P123" s="13"/>
      <c r="Q123" s="13"/>
      <c r="R123" s="13"/>
      <c r="S123" s="13"/>
    </row>
    <row r="124" spans="1:19" ht="18.5" x14ac:dyDescent="0.45">
      <c r="A124" s="13"/>
      <c r="B124" s="13"/>
      <c r="C124" s="13"/>
      <c r="D124" s="13"/>
      <c r="E124" s="13"/>
      <c r="F124" s="13"/>
      <c r="G124" s="13"/>
      <c r="H124" s="13"/>
      <c r="I124" s="13"/>
      <c r="J124" s="13"/>
      <c r="K124" s="13"/>
      <c r="L124" s="13"/>
      <c r="M124" s="13"/>
      <c r="N124" s="13"/>
      <c r="O124" s="13"/>
      <c r="P124" s="13"/>
      <c r="Q124" s="13"/>
      <c r="R124" s="13"/>
      <c r="S124" s="13"/>
    </row>
    <row r="125" spans="1:19" ht="18.5" x14ac:dyDescent="0.45">
      <c r="A125" s="13"/>
      <c r="B125" s="13"/>
      <c r="C125" s="13"/>
      <c r="D125" s="13"/>
      <c r="E125" s="13"/>
      <c r="F125" s="13"/>
      <c r="G125" s="13"/>
      <c r="H125" s="13"/>
      <c r="I125" s="13"/>
      <c r="J125" s="13"/>
      <c r="K125" s="13"/>
      <c r="L125" s="13"/>
      <c r="M125" s="13"/>
      <c r="N125" s="13"/>
      <c r="O125" s="13"/>
      <c r="P125" s="13"/>
      <c r="Q125" s="13"/>
      <c r="R125" s="13"/>
      <c r="S125" s="13"/>
    </row>
    <row r="126" spans="1:19" ht="18.5" x14ac:dyDescent="0.45">
      <c r="A126" s="13"/>
      <c r="B126" s="13"/>
      <c r="C126" s="13"/>
      <c r="D126" s="13"/>
      <c r="E126" s="13"/>
      <c r="F126" s="13"/>
      <c r="G126" s="13"/>
      <c r="H126" s="13"/>
      <c r="I126" s="13"/>
      <c r="J126" s="13"/>
      <c r="K126" s="13"/>
      <c r="L126" s="13"/>
      <c r="M126" s="13"/>
      <c r="N126" s="13"/>
      <c r="O126" s="13"/>
      <c r="P126" s="13"/>
      <c r="Q126" s="13"/>
      <c r="R126" s="13"/>
      <c r="S126" s="13"/>
    </row>
    <row r="127" spans="1:19" ht="18.5" x14ac:dyDescent="0.45">
      <c r="A127" s="13"/>
      <c r="B127" s="13"/>
      <c r="C127" s="13"/>
      <c r="D127" s="13"/>
      <c r="E127" s="13"/>
      <c r="F127" s="13"/>
      <c r="G127" s="13"/>
      <c r="H127" s="13"/>
      <c r="I127" s="13"/>
      <c r="J127" s="13"/>
      <c r="K127" s="13"/>
      <c r="L127" s="13"/>
      <c r="M127" s="13"/>
      <c r="N127" s="13"/>
      <c r="O127" s="13"/>
      <c r="P127" s="13"/>
      <c r="Q127" s="13"/>
      <c r="R127" s="13"/>
      <c r="S127" s="13"/>
    </row>
    <row r="128" spans="1:19" ht="18.5" x14ac:dyDescent="0.45">
      <c r="A128" s="13"/>
      <c r="B128" s="13"/>
      <c r="C128" s="13"/>
      <c r="D128" s="13"/>
      <c r="E128" s="13"/>
      <c r="F128" s="13"/>
      <c r="G128" s="13"/>
      <c r="H128" s="13"/>
      <c r="I128" s="13"/>
      <c r="J128" s="13"/>
      <c r="K128" s="13"/>
      <c r="L128" s="13"/>
      <c r="M128" s="13"/>
      <c r="N128" s="13"/>
      <c r="O128" s="13"/>
      <c r="P128" s="13"/>
      <c r="Q128" s="13"/>
      <c r="R128" s="13"/>
      <c r="S128" s="13"/>
    </row>
    <row r="129" spans="1:19" ht="18.5" x14ac:dyDescent="0.45">
      <c r="A129" s="13"/>
      <c r="B129" s="13"/>
      <c r="C129" s="13"/>
      <c r="D129" s="13"/>
      <c r="E129" s="13"/>
      <c r="F129" s="13"/>
      <c r="G129" s="13"/>
      <c r="H129" s="13"/>
      <c r="I129" s="13"/>
      <c r="J129" s="13"/>
      <c r="K129" s="13"/>
      <c r="L129" s="13"/>
      <c r="M129" s="13"/>
      <c r="N129" s="13"/>
      <c r="O129" s="13"/>
      <c r="P129" s="13"/>
      <c r="Q129" s="13"/>
      <c r="R129" s="13"/>
      <c r="S129" s="13"/>
    </row>
    <row r="130" spans="1:19" ht="18.5" x14ac:dyDescent="0.45">
      <c r="A130" s="13"/>
      <c r="B130" s="13"/>
      <c r="C130" s="13"/>
      <c r="D130" s="13"/>
      <c r="E130" s="13"/>
      <c r="F130" s="13"/>
      <c r="G130" s="13"/>
      <c r="H130" s="13"/>
      <c r="I130" s="13"/>
      <c r="J130" s="13"/>
      <c r="K130" s="13"/>
      <c r="L130" s="13"/>
      <c r="M130" s="13"/>
      <c r="N130" s="13"/>
      <c r="O130" s="13"/>
      <c r="P130" s="13"/>
      <c r="Q130" s="13"/>
      <c r="R130" s="13"/>
      <c r="S130" s="13"/>
    </row>
    <row r="131" spans="1:19" ht="18.5" x14ac:dyDescent="0.45">
      <c r="A131" s="13"/>
      <c r="B131" s="13"/>
      <c r="C131" s="13"/>
      <c r="D131" s="13"/>
      <c r="E131" s="13"/>
      <c r="F131" s="13"/>
      <c r="G131" s="13"/>
      <c r="H131" s="13"/>
      <c r="I131" s="13"/>
      <c r="J131" s="13"/>
      <c r="K131" s="13"/>
      <c r="L131" s="13"/>
      <c r="M131" s="13"/>
      <c r="N131" s="13"/>
      <c r="O131" s="13"/>
      <c r="P131" s="13"/>
      <c r="Q131" s="13"/>
      <c r="R131" s="13"/>
      <c r="S131" s="13"/>
    </row>
    <row r="132" spans="1:19" ht="18.5" x14ac:dyDescent="0.45">
      <c r="A132" s="13"/>
      <c r="B132" s="13"/>
      <c r="C132" s="13"/>
      <c r="D132" s="13"/>
      <c r="E132" s="13"/>
      <c r="F132" s="13"/>
      <c r="G132" s="13"/>
      <c r="H132" s="13"/>
      <c r="I132" s="13"/>
      <c r="J132" s="13"/>
      <c r="K132" s="13"/>
      <c r="L132" s="13"/>
      <c r="M132" s="13"/>
      <c r="N132" s="13"/>
      <c r="O132" s="13"/>
      <c r="P132" s="13"/>
      <c r="Q132" s="13"/>
      <c r="R132" s="13"/>
      <c r="S132" s="13"/>
    </row>
    <row r="133" spans="1:19" ht="18.5" x14ac:dyDescent="0.45">
      <c r="A133" s="13"/>
      <c r="B133" s="13"/>
      <c r="C133" s="13"/>
      <c r="D133" s="13"/>
      <c r="E133" s="13"/>
      <c r="F133" s="13"/>
      <c r="G133" s="13"/>
      <c r="H133" s="13"/>
      <c r="I133" s="13"/>
      <c r="J133" s="13"/>
      <c r="K133" s="13"/>
      <c r="L133" s="13"/>
      <c r="M133" s="13"/>
      <c r="N133" s="13"/>
      <c r="O133" s="13"/>
      <c r="P133" s="13"/>
      <c r="Q133" s="13"/>
      <c r="R133" s="13"/>
      <c r="S133" s="13"/>
    </row>
    <row r="134" spans="1:19" ht="18.5" x14ac:dyDescent="0.45">
      <c r="A134" s="13"/>
      <c r="B134" s="13"/>
      <c r="C134" s="13"/>
      <c r="D134" s="13"/>
      <c r="E134" s="13"/>
      <c r="F134" s="13"/>
      <c r="G134" s="13"/>
      <c r="H134" s="13"/>
      <c r="I134" s="13"/>
      <c r="J134" s="13"/>
      <c r="K134" s="13"/>
      <c r="L134" s="13"/>
      <c r="M134" s="13"/>
      <c r="N134" s="13"/>
      <c r="O134" s="13"/>
      <c r="P134" s="13"/>
      <c r="Q134" s="13"/>
      <c r="R134" s="13"/>
      <c r="S134" s="13"/>
    </row>
    <row r="135" spans="1:19" ht="18.5" x14ac:dyDescent="0.45">
      <c r="A135" s="13"/>
      <c r="B135" s="13"/>
      <c r="C135" s="13"/>
      <c r="D135" s="13"/>
      <c r="E135" s="13"/>
      <c r="F135" s="13"/>
      <c r="G135" s="13"/>
      <c r="H135" s="13"/>
      <c r="I135" s="13"/>
      <c r="J135" s="13"/>
      <c r="K135" s="13"/>
      <c r="L135" s="13"/>
      <c r="M135" s="13"/>
      <c r="N135" s="13"/>
      <c r="O135" s="13"/>
      <c r="P135" s="13"/>
      <c r="Q135" s="13"/>
      <c r="R135" s="13"/>
      <c r="S135" s="13"/>
    </row>
    <row r="136" spans="1:19" ht="18.5" x14ac:dyDescent="0.45">
      <c r="A136" s="13"/>
      <c r="B136" s="13"/>
      <c r="C136" s="13"/>
      <c r="D136" s="13"/>
      <c r="E136" s="13"/>
      <c r="F136" s="13"/>
      <c r="G136" s="13"/>
      <c r="H136" s="13"/>
      <c r="I136" s="13"/>
      <c r="J136" s="13"/>
      <c r="K136" s="13"/>
      <c r="L136" s="13"/>
      <c r="M136" s="13"/>
      <c r="N136" s="13"/>
      <c r="O136" s="13"/>
      <c r="P136" s="13"/>
      <c r="Q136" s="13"/>
      <c r="R136" s="13"/>
      <c r="S136" s="13"/>
    </row>
    <row r="137" spans="1:19" ht="18.5" x14ac:dyDescent="0.45">
      <c r="A137" s="13"/>
      <c r="B137" s="13"/>
      <c r="C137" s="13"/>
      <c r="D137" s="13"/>
      <c r="E137" s="13"/>
      <c r="F137" s="13"/>
      <c r="G137" s="13"/>
      <c r="H137" s="13"/>
      <c r="I137" s="13"/>
      <c r="J137" s="13"/>
      <c r="K137" s="13"/>
      <c r="L137" s="13"/>
      <c r="M137" s="13"/>
      <c r="N137" s="13"/>
      <c r="O137" s="13"/>
      <c r="P137" s="13"/>
      <c r="Q137" s="13"/>
      <c r="R137" s="13"/>
      <c r="S137" s="13"/>
    </row>
    <row r="138" spans="1:19" ht="18.5" x14ac:dyDescent="0.45">
      <c r="A138" s="13"/>
      <c r="B138" s="13"/>
      <c r="C138" s="13"/>
      <c r="D138" s="13"/>
      <c r="E138" s="13"/>
      <c r="F138" s="13"/>
      <c r="G138" s="13"/>
      <c r="H138" s="13"/>
      <c r="I138" s="13"/>
      <c r="J138" s="13"/>
      <c r="K138" s="13"/>
      <c r="L138" s="13"/>
      <c r="M138" s="13"/>
      <c r="N138" s="13"/>
      <c r="O138" s="13"/>
      <c r="P138" s="13"/>
      <c r="Q138" s="13"/>
      <c r="R138" s="13"/>
      <c r="S138" s="13"/>
    </row>
    <row r="139" spans="1:19" ht="18.5" x14ac:dyDescent="0.45">
      <c r="A139" s="13"/>
      <c r="B139" s="13"/>
      <c r="C139" s="13"/>
      <c r="D139" s="13"/>
      <c r="E139" s="13"/>
      <c r="F139" s="13"/>
      <c r="G139" s="13"/>
      <c r="H139" s="13"/>
      <c r="I139" s="13"/>
      <c r="J139" s="13"/>
      <c r="K139" s="13"/>
      <c r="L139" s="13"/>
      <c r="M139" s="13"/>
      <c r="N139" s="13"/>
      <c r="O139" s="13"/>
      <c r="P139" s="13"/>
      <c r="Q139" s="13"/>
      <c r="R139" s="13"/>
      <c r="S139" s="13"/>
    </row>
    <row r="140" spans="1:19" ht="18.5" x14ac:dyDescent="0.45">
      <c r="A140" s="13"/>
      <c r="B140" s="13"/>
      <c r="C140" s="13"/>
      <c r="D140" s="13"/>
      <c r="E140" s="13"/>
      <c r="F140" s="13"/>
      <c r="G140" s="13"/>
      <c r="H140" s="13"/>
      <c r="I140" s="13"/>
      <c r="J140" s="13"/>
      <c r="K140" s="13"/>
      <c r="L140" s="13"/>
      <c r="M140" s="13"/>
      <c r="N140" s="13"/>
      <c r="O140" s="13"/>
      <c r="P140" s="13"/>
      <c r="Q140" s="13"/>
      <c r="R140" s="13"/>
      <c r="S140" s="13"/>
    </row>
    <row r="141" spans="1:19" ht="18.5" x14ac:dyDescent="0.45">
      <c r="A141" s="13"/>
      <c r="B141" s="13"/>
      <c r="C141" s="13"/>
      <c r="D141" s="13"/>
      <c r="E141" s="13"/>
      <c r="F141" s="13"/>
      <c r="G141" s="13"/>
      <c r="H141" s="13"/>
      <c r="I141" s="13"/>
      <c r="J141" s="13"/>
      <c r="K141" s="13"/>
      <c r="L141" s="13"/>
      <c r="M141" s="13"/>
      <c r="N141" s="13"/>
      <c r="O141" s="13"/>
      <c r="P141" s="13"/>
      <c r="Q141" s="13"/>
      <c r="R141" s="13"/>
      <c r="S141" s="13"/>
    </row>
    <row r="142" spans="1:19" ht="18.5" x14ac:dyDescent="0.45">
      <c r="A142" s="13"/>
      <c r="B142" s="13"/>
      <c r="C142" s="13"/>
      <c r="D142" s="13"/>
      <c r="E142" s="13"/>
      <c r="F142" s="13"/>
      <c r="G142" s="13"/>
      <c r="H142" s="13"/>
      <c r="I142" s="13"/>
      <c r="J142" s="13"/>
      <c r="K142" s="13"/>
      <c r="L142" s="13"/>
      <c r="M142" s="13"/>
      <c r="N142" s="13"/>
      <c r="O142" s="13"/>
      <c r="P142" s="13"/>
      <c r="Q142" s="13"/>
      <c r="R142" s="13"/>
      <c r="S142" s="13"/>
    </row>
    <row r="143" spans="1:19" ht="18.5" x14ac:dyDescent="0.45">
      <c r="A143" s="13"/>
      <c r="B143" s="13"/>
      <c r="C143" s="13"/>
      <c r="D143" s="13"/>
      <c r="E143" s="13"/>
      <c r="F143" s="13"/>
      <c r="G143" s="13"/>
      <c r="H143" s="13"/>
      <c r="I143" s="13"/>
      <c r="J143" s="13"/>
      <c r="K143" s="13"/>
      <c r="L143" s="13"/>
      <c r="M143" s="13"/>
      <c r="N143" s="13"/>
      <c r="O143" s="13"/>
      <c r="P143" s="13"/>
      <c r="Q143" s="13"/>
      <c r="R143" s="13"/>
      <c r="S143" s="13"/>
    </row>
    <row r="144" spans="1:19" ht="18.5" x14ac:dyDescent="0.45">
      <c r="A144" s="13"/>
      <c r="B144" s="13"/>
      <c r="C144" s="13"/>
      <c r="D144" s="13"/>
      <c r="E144" s="13"/>
      <c r="F144" s="13"/>
      <c r="G144" s="13"/>
      <c r="H144" s="13"/>
      <c r="I144" s="13"/>
      <c r="J144" s="13"/>
      <c r="K144" s="13"/>
      <c r="L144" s="13"/>
      <c r="M144" s="13"/>
      <c r="N144" s="13"/>
      <c r="O144" s="13"/>
      <c r="P144" s="13"/>
      <c r="Q144" s="13"/>
      <c r="R144" s="13"/>
      <c r="S144" s="13"/>
    </row>
    <row r="145" spans="1:19" ht="18.5" x14ac:dyDescent="0.45">
      <c r="A145" s="13"/>
      <c r="B145" s="13"/>
      <c r="C145" s="13"/>
      <c r="D145" s="13"/>
      <c r="E145" s="13"/>
      <c r="F145" s="13"/>
      <c r="G145" s="13"/>
      <c r="H145" s="13"/>
      <c r="I145" s="13"/>
      <c r="J145" s="13"/>
      <c r="K145" s="13"/>
      <c r="L145" s="13"/>
      <c r="M145" s="13"/>
      <c r="N145" s="13"/>
      <c r="O145" s="13"/>
      <c r="P145" s="13"/>
      <c r="Q145" s="13"/>
      <c r="R145" s="13"/>
      <c r="S145" s="13"/>
    </row>
    <row r="146" spans="1:19" ht="18.5" x14ac:dyDescent="0.45">
      <c r="A146" s="13"/>
      <c r="B146" s="13"/>
      <c r="C146" s="13"/>
      <c r="D146" s="13"/>
      <c r="E146" s="13"/>
      <c r="F146" s="13"/>
      <c r="G146" s="13"/>
      <c r="H146" s="13"/>
      <c r="I146" s="13"/>
      <c r="J146" s="13"/>
      <c r="K146" s="13"/>
      <c r="L146" s="13"/>
      <c r="M146" s="13"/>
      <c r="N146" s="13"/>
      <c r="O146" s="13"/>
      <c r="P146" s="13"/>
      <c r="Q146" s="13"/>
      <c r="R146" s="13"/>
      <c r="S146" s="13"/>
    </row>
    <row r="147" spans="1:19" ht="18.5" x14ac:dyDescent="0.45">
      <c r="A147" s="13"/>
      <c r="B147" s="13"/>
      <c r="C147" s="13"/>
      <c r="D147" s="13"/>
      <c r="E147" s="13"/>
      <c r="F147" s="13"/>
      <c r="G147" s="13"/>
      <c r="H147" s="13"/>
      <c r="I147" s="13"/>
      <c r="J147" s="13"/>
      <c r="K147" s="13"/>
      <c r="L147" s="13"/>
      <c r="M147" s="13"/>
      <c r="N147" s="13"/>
      <c r="O147" s="13"/>
      <c r="P147" s="13"/>
      <c r="Q147" s="13"/>
      <c r="R147" s="13"/>
      <c r="S147" s="13"/>
    </row>
    <row r="148" spans="1:19" ht="18.5" x14ac:dyDescent="0.45">
      <c r="A148" s="13"/>
      <c r="B148" s="13"/>
      <c r="C148" s="13"/>
      <c r="D148" s="13"/>
      <c r="E148" s="13"/>
      <c r="F148" s="13"/>
      <c r="G148" s="13"/>
      <c r="H148" s="13"/>
      <c r="I148" s="13"/>
      <c r="J148" s="13"/>
      <c r="K148" s="13"/>
      <c r="L148" s="13"/>
      <c r="M148" s="13"/>
      <c r="N148" s="13"/>
      <c r="O148" s="13"/>
      <c r="P148" s="13"/>
      <c r="Q148" s="13"/>
      <c r="R148" s="13"/>
      <c r="S148" s="13"/>
    </row>
    <row r="149" spans="1:19" ht="18.5" x14ac:dyDescent="0.45">
      <c r="A149" s="13"/>
      <c r="B149" s="13"/>
      <c r="C149" s="13"/>
      <c r="D149" s="13"/>
      <c r="E149" s="13"/>
      <c r="F149" s="13"/>
      <c r="G149" s="13"/>
      <c r="H149" s="13"/>
      <c r="I149" s="13"/>
      <c r="J149" s="13"/>
      <c r="K149" s="13"/>
      <c r="L149" s="13"/>
      <c r="M149" s="13"/>
      <c r="N149" s="13"/>
      <c r="O149" s="13"/>
      <c r="P149" s="13"/>
      <c r="Q149" s="13"/>
      <c r="R149" s="13"/>
      <c r="S149" s="13"/>
    </row>
    <row r="150" spans="1:19" ht="18.5" x14ac:dyDescent="0.45">
      <c r="A150" s="13"/>
      <c r="B150" s="13"/>
      <c r="C150" s="13"/>
      <c r="D150" s="13"/>
      <c r="E150" s="13"/>
      <c r="F150" s="13"/>
      <c r="G150" s="13"/>
      <c r="H150" s="13"/>
      <c r="I150" s="13"/>
      <c r="J150" s="13"/>
      <c r="K150" s="13"/>
      <c r="L150" s="13"/>
      <c r="M150" s="13"/>
      <c r="N150" s="13"/>
      <c r="O150" s="13"/>
      <c r="P150" s="13"/>
      <c r="Q150" s="13"/>
      <c r="R150" s="13"/>
      <c r="S150" s="13"/>
    </row>
    <row r="151" spans="1:19" ht="18.5" x14ac:dyDescent="0.45">
      <c r="A151" s="13"/>
      <c r="B151" s="13"/>
      <c r="C151" s="13"/>
      <c r="D151" s="13"/>
      <c r="E151" s="13"/>
      <c r="F151" s="13"/>
      <c r="G151" s="13"/>
      <c r="H151" s="13"/>
      <c r="I151" s="13"/>
      <c r="J151" s="13"/>
      <c r="K151" s="13"/>
      <c r="L151" s="13"/>
      <c r="M151" s="13"/>
      <c r="N151" s="13"/>
      <c r="O151" s="13"/>
      <c r="P151" s="13"/>
      <c r="Q151" s="13"/>
      <c r="R151" s="13"/>
      <c r="S151" s="13"/>
    </row>
  </sheetData>
  <pageMargins left="0.7" right="0.7" top="0.75" bottom="0.75" header="0.3" footer="0.3"/>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EA86F-531C-4EB4-8C21-C868122B6174}">
  <sheetPr codeName="Sheet1"/>
  <dimension ref="A1:T72"/>
  <sheetViews>
    <sheetView showGridLines="0" showRowColHeaders="0" topLeftCell="A55" workbookViewId="0">
      <selection activeCell="D64" sqref="D64"/>
    </sheetView>
  </sheetViews>
  <sheetFormatPr defaultRowHeight="14.5" x14ac:dyDescent="0.35"/>
  <sheetData>
    <row r="1" spans="1:20" ht="26" x14ac:dyDescent="0.6">
      <c r="E1" s="6"/>
      <c r="F1" s="20" t="s">
        <v>180</v>
      </c>
    </row>
    <row r="2" spans="1:20" ht="18.5" x14ac:dyDescent="0.35">
      <c r="A2" s="19"/>
      <c r="B2" s="19"/>
      <c r="C2" s="19"/>
      <c r="D2" s="21" t="s">
        <v>58</v>
      </c>
      <c r="E2" s="19"/>
      <c r="F2" s="19"/>
      <c r="G2" s="19"/>
      <c r="H2" s="19"/>
      <c r="I2" s="19"/>
      <c r="J2" s="19"/>
      <c r="K2" s="19"/>
      <c r="L2" s="19"/>
      <c r="M2" s="19"/>
      <c r="N2" s="19"/>
      <c r="O2" s="19"/>
      <c r="P2" s="19"/>
      <c r="Q2" s="19"/>
      <c r="R2" s="19"/>
      <c r="S2" s="19"/>
      <c r="T2" s="19"/>
    </row>
    <row r="3" spans="1:20" ht="18.5" x14ac:dyDescent="0.35">
      <c r="A3" s="19"/>
      <c r="B3" s="19" t="s">
        <v>250</v>
      </c>
      <c r="C3" s="19"/>
      <c r="D3" s="21"/>
      <c r="E3" s="19"/>
      <c r="F3" s="19"/>
      <c r="G3" s="19"/>
      <c r="H3" s="19"/>
      <c r="I3" s="19"/>
      <c r="J3" s="19"/>
      <c r="K3" s="19"/>
      <c r="L3" s="19"/>
      <c r="M3" s="19"/>
      <c r="N3" s="19"/>
      <c r="O3" s="19"/>
      <c r="P3" s="19"/>
      <c r="Q3" s="19"/>
      <c r="R3" s="19"/>
      <c r="S3" s="19"/>
      <c r="T3" s="19"/>
    </row>
    <row r="4" spans="1:20" ht="18.5" x14ac:dyDescent="0.35">
      <c r="A4" s="19"/>
      <c r="B4" s="19" t="s">
        <v>195</v>
      </c>
      <c r="C4" s="19"/>
      <c r="D4" s="21"/>
      <c r="E4" s="19"/>
      <c r="F4" s="19"/>
      <c r="G4" s="19"/>
      <c r="H4" s="19"/>
      <c r="I4" s="19"/>
      <c r="J4" s="19"/>
      <c r="K4" s="19"/>
      <c r="L4" s="19"/>
      <c r="M4" s="19"/>
      <c r="N4" s="19"/>
      <c r="O4" s="19"/>
      <c r="P4" s="19"/>
      <c r="Q4" s="19"/>
      <c r="R4" s="19"/>
      <c r="S4" s="19"/>
      <c r="T4" s="19"/>
    </row>
    <row r="5" spans="1:20" ht="18.5" x14ac:dyDescent="0.35">
      <c r="A5" s="19"/>
      <c r="B5" s="19" t="s">
        <v>196</v>
      </c>
      <c r="C5" s="19"/>
      <c r="D5" s="21"/>
      <c r="E5" s="19"/>
      <c r="F5" s="19"/>
      <c r="G5" s="19"/>
      <c r="H5" s="19"/>
      <c r="I5" s="19"/>
      <c r="J5" s="19"/>
      <c r="K5" s="19"/>
      <c r="L5" s="19"/>
      <c r="M5" s="19"/>
      <c r="N5" s="19"/>
      <c r="O5" s="19"/>
      <c r="P5" s="19"/>
      <c r="Q5" s="19"/>
      <c r="R5" s="19"/>
      <c r="S5" s="19"/>
      <c r="T5" s="19"/>
    </row>
    <row r="6" spans="1:20" ht="21" x14ac:dyDescent="0.35">
      <c r="A6" s="19"/>
      <c r="B6" s="22" t="s">
        <v>197</v>
      </c>
      <c r="C6" s="19"/>
      <c r="D6" s="21"/>
      <c r="E6" s="19"/>
      <c r="F6" s="19"/>
      <c r="G6" s="19"/>
      <c r="H6" s="19"/>
      <c r="I6" s="19"/>
      <c r="J6" s="19"/>
      <c r="K6" s="19"/>
      <c r="L6" s="19"/>
      <c r="M6" s="19"/>
      <c r="N6" s="19"/>
      <c r="O6" s="19"/>
      <c r="P6" s="19"/>
      <c r="Q6" s="19"/>
      <c r="R6" s="19"/>
      <c r="S6" s="19"/>
      <c r="T6" s="19"/>
    </row>
    <row r="7" spans="1:20" ht="18.5" x14ac:dyDescent="0.35">
      <c r="A7" s="19"/>
      <c r="B7" s="17" t="s">
        <v>198</v>
      </c>
      <c r="C7" s="19"/>
      <c r="D7" s="21"/>
      <c r="E7" s="19"/>
      <c r="F7" s="19"/>
      <c r="G7" s="19"/>
      <c r="H7" s="19"/>
      <c r="I7" s="19"/>
      <c r="J7" s="19"/>
      <c r="K7" s="19"/>
      <c r="L7" s="19"/>
      <c r="M7" s="19"/>
      <c r="N7" s="19"/>
      <c r="O7" s="19"/>
      <c r="P7" s="19"/>
      <c r="Q7" s="19"/>
      <c r="R7" s="19"/>
      <c r="S7" s="19"/>
      <c r="T7" s="19"/>
    </row>
    <row r="8" spans="1:20" ht="18.5" x14ac:dyDescent="0.35">
      <c r="A8" s="19"/>
      <c r="B8" s="17" t="s">
        <v>199</v>
      </c>
      <c r="C8" s="19"/>
      <c r="D8" s="21"/>
      <c r="E8" s="19"/>
      <c r="F8" s="19"/>
      <c r="G8" s="19"/>
      <c r="H8" s="19"/>
      <c r="I8" s="19"/>
      <c r="J8" s="19"/>
      <c r="K8" s="19"/>
      <c r="L8" s="19"/>
      <c r="M8" s="19"/>
      <c r="N8" s="19"/>
      <c r="O8" s="19"/>
      <c r="P8" s="19"/>
      <c r="Q8" s="19"/>
      <c r="R8" s="19"/>
      <c r="S8" s="19"/>
      <c r="T8" s="19"/>
    </row>
    <row r="9" spans="1:20" ht="18.5" x14ac:dyDescent="0.35">
      <c r="A9" s="19"/>
      <c r="B9" s="17" t="s">
        <v>200</v>
      </c>
      <c r="C9" s="19"/>
      <c r="D9" s="21"/>
      <c r="E9" s="19"/>
      <c r="F9" s="19"/>
      <c r="G9" s="19"/>
      <c r="H9" s="19"/>
      <c r="I9" s="19"/>
      <c r="J9" s="19"/>
      <c r="K9" s="19"/>
      <c r="L9" s="19"/>
      <c r="M9" s="19"/>
      <c r="N9" s="19"/>
      <c r="O9" s="19"/>
      <c r="P9" s="19"/>
      <c r="Q9" s="19"/>
      <c r="R9" s="19"/>
      <c r="S9" s="19"/>
      <c r="T9" s="19"/>
    </row>
    <row r="10" spans="1:20" ht="18.5" x14ac:dyDescent="0.35">
      <c r="A10" s="19"/>
      <c r="B10" s="19" t="s">
        <v>201</v>
      </c>
      <c r="C10" s="19"/>
      <c r="D10" s="19"/>
      <c r="E10" s="19"/>
      <c r="F10" s="19"/>
      <c r="G10" s="19"/>
      <c r="H10" s="19"/>
      <c r="I10" s="19"/>
      <c r="J10" s="19"/>
      <c r="K10" s="19"/>
      <c r="L10" s="19"/>
      <c r="M10" s="19"/>
      <c r="N10" s="19"/>
      <c r="O10" s="19"/>
      <c r="P10" s="19"/>
      <c r="Q10" s="19"/>
      <c r="R10" s="19"/>
      <c r="S10" s="19"/>
      <c r="T10" s="19"/>
    </row>
    <row r="11" spans="1:20" ht="18.5" x14ac:dyDescent="0.35">
      <c r="A11" s="19"/>
      <c r="B11" s="19"/>
      <c r="C11" s="19"/>
      <c r="D11" s="19"/>
      <c r="E11" s="19"/>
      <c r="F11" s="19"/>
      <c r="G11" s="19"/>
      <c r="H11" s="19"/>
      <c r="I11" s="19"/>
      <c r="J11" s="19"/>
      <c r="K11" s="19"/>
      <c r="L11" s="19"/>
      <c r="M11" s="19"/>
      <c r="N11" s="19"/>
      <c r="O11" s="19"/>
      <c r="P11" s="19"/>
      <c r="Q11" s="19"/>
      <c r="R11" s="19"/>
      <c r="S11" s="19"/>
      <c r="T11" s="19"/>
    </row>
    <row r="12" spans="1:20" ht="21" x14ac:dyDescent="0.35">
      <c r="A12" s="19"/>
      <c r="B12" s="19"/>
      <c r="C12" s="19"/>
      <c r="D12" s="22" t="s">
        <v>91</v>
      </c>
      <c r="E12" s="19"/>
      <c r="F12" s="19"/>
      <c r="G12" s="19"/>
      <c r="H12" s="19"/>
      <c r="I12" s="19"/>
      <c r="J12" s="19"/>
      <c r="K12" s="19"/>
      <c r="L12" s="19"/>
      <c r="M12" s="19"/>
      <c r="N12" s="19"/>
      <c r="O12" s="19"/>
      <c r="P12" s="19"/>
      <c r="Q12" s="19"/>
      <c r="R12" s="19"/>
      <c r="S12" s="19"/>
      <c r="T12" s="19"/>
    </row>
    <row r="13" spans="1:20" ht="18.5" x14ac:dyDescent="0.35">
      <c r="A13" s="19"/>
      <c r="B13" s="19" t="s">
        <v>84</v>
      </c>
      <c r="C13" s="19"/>
      <c r="D13" s="19"/>
      <c r="E13" s="19"/>
      <c r="F13" s="19"/>
      <c r="G13" s="19"/>
      <c r="H13" s="19"/>
      <c r="I13" s="19"/>
      <c r="J13" s="19"/>
      <c r="K13" s="19"/>
      <c r="L13" s="19"/>
      <c r="M13" s="19"/>
      <c r="N13" s="19"/>
      <c r="O13" s="19"/>
      <c r="P13" s="19"/>
      <c r="Q13" s="19"/>
      <c r="R13" s="19"/>
      <c r="S13" s="19"/>
      <c r="T13" s="19"/>
    </row>
    <row r="14" spans="1:20" ht="18.5" x14ac:dyDescent="0.35">
      <c r="A14" s="19"/>
      <c r="B14" s="19" t="s">
        <v>85</v>
      </c>
      <c r="C14" s="19"/>
      <c r="D14" s="19"/>
      <c r="E14" s="19"/>
      <c r="F14" s="19"/>
      <c r="G14" s="19"/>
      <c r="H14" s="19"/>
      <c r="I14" s="19"/>
      <c r="J14" s="19"/>
      <c r="K14" s="19"/>
      <c r="L14" s="19"/>
      <c r="M14" s="19"/>
      <c r="N14" s="19"/>
      <c r="O14" s="19"/>
      <c r="P14" s="19"/>
      <c r="Q14" s="19"/>
      <c r="R14" s="19"/>
      <c r="S14" s="19"/>
      <c r="T14" s="19"/>
    </row>
    <row r="15" spans="1:20" ht="18.5" x14ac:dyDescent="0.35">
      <c r="A15" s="19"/>
      <c r="B15" s="19"/>
      <c r="C15" s="19"/>
      <c r="D15" s="19"/>
      <c r="E15" s="19"/>
      <c r="F15" s="19"/>
      <c r="G15" s="19"/>
      <c r="H15" s="19"/>
      <c r="I15" s="19"/>
      <c r="J15" s="19"/>
      <c r="K15" s="19"/>
      <c r="L15" s="19"/>
      <c r="M15" s="19"/>
      <c r="N15" s="19"/>
      <c r="O15" s="19"/>
      <c r="P15" s="19"/>
      <c r="Q15" s="19"/>
      <c r="R15" s="19"/>
      <c r="S15" s="19"/>
      <c r="T15" s="19"/>
    </row>
    <row r="16" spans="1:20" ht="21" x14ac:dyDescent="0.35">
      <c r="A16" s="19"/>
      <c r="B16" s="19"/>
      <c r="C16" s="19"/>
      <c r="D16" s="22" t="s">
        <v>90</v>
      </c>
      <c r="E16" s="19"/>
      <c r="F16" s="19"/>
      <c r="G16" s="19"/>
      <c r="H16" s="19"/>
      <c r="I16" s="19"/>
      <c r="J16" s="19"/>
      <c r="K16" s="19"/>
      <c r="L16" s="19"/>
      <c r="M16" s="19"/>
      <c r="N16" s="19"/>
      <c r="O16" s="19"/>
      <c r="P16" s="19"/>
      <c r="Q16" s="19"/>
      <c r="R16" s="19"/>
      <c r="S16" s="19"/>
      <c r="T16" s="19"/>
    </row>
    <row r="17" spans="1:20" ht="18.5" x14ac:dyDescent="0.35">
      <c r="A17" s="19"/>
      <c r="B17" s="19" t="s">
        <v>86</v>
      </c>
      <c r="C17" s="19"/>
      <c r="D17" s="19"/>
      <c r="E17" s="19"/>
      <c r="F17" s="19"/>
      <c r="G17" s="19"/>
      <c r="H17" s="19"/>
      <c r="I17" s="19"/>
      <c r="J17" s="19"/>
      <c r="K17" s="19"/>
      <c r="L17" s="19"/>
      <c r="M17" s="19"/>
      <c r="N17" s="19"/>
      <c r="O17" s="19"/>
      <c r="P17" s="19"/>
      <c r="Q17" s="19"/>
      <c r="R17" s="19"/>
      <c r="S17" s="19"/>
      <c r="T17" s="19"/>
    </row>
    <row r="18" spans="1:20" ht="18.5" x14ac:dyDescent="0.35">
      <c r="A18" s="19"/>
      <c r="B18" s="19" t="s">
        <v>87</v>
      </c>
      <c r="C18" s="19"/>
      <c r="D18" s="19"/>
      <c r="E18" s="19"/>
      <c r="F18" s="19"/>
      <c r="G18" s="19"/>
      <c r="H18" s="19"/>
      <c r="I18" s="19"/>
      <c r="J18" s="19"/>
      <c r="K18" s="19"/>
      <c r="L18" s="19"/>
      <c r="M18" s="19"/>
      <c r="N18" s="19"/>
      <c r="O18" s="19"/>
      <c r="P18" s="19"/>
      <c r="Q18" s="19"/>
      <c r="R18" s="19"/>
      <c r="S18" s="19"/>
      <c r="T18" s="19"/>
    </row>
    <row r="19" spans="1:20" ht="18.5" x14ac:dyDescent="0.35">
      <c r="A19" s="19"/>
      <c r="B19" s="19" t="s">
        <v>88</v>
      </c>
      <c r="C19" s="19"/>
      <c r="D19" s="19"/>
      <c r="E19" s="19"/>
      <c r="F19" s="19"/>
      <c r="G19" s="19"/>
      <c r="H19" s="19"/>
      <c r="I19" s="19"/>
      <c r="J19" s="19"/>
      <c r="K19" s="19"/>
      <c r="L19" s="19"/>
      <c r="M19" s="19"/>
      <c r="N19" s="19"/>
      <c r="O19" s="19"/>
      <c r="P19" s="19"/>
      <c r="Q19" s="19"/>
      <c r="R19" s="19"/>
      <c r="S19" s="19"/>
      <c r="T19" s="19"/>
    </row>
    <row r="20" spans="1:20" ht="18.5" x14ac:dyDescent="0.35">
      <c r="A20" s="19"/>
      <c r="B20" s="19"/>
      <c r="C20" s="19"/>
      <c r="D20" s="19"/>
      <c r="E20" s="19"/>
      <c r="F20" s="19"/>
      <c r="G20" s="19"/>
      <c r="H20" s="19"/>
      <c r="I20" s="19"/>
      <c r="J20" s="19"/>
      <c r="K20" s="19"/>
      <c r="L20" s="19"/>
      <c r="M20" s="19"/>
      <c r="N20" s="19"/>
      <c r="O20" s="19"/>
      <c r="P20" s="19"/>
      <c r="Q20" s="19"/>
      <c r="R20" s="19"/>
      <c r="S20" s="19"/>
      <c r="T20" s="19"/>
    </row>
    <row r="21" spans="1:20" ht="21" x14ac:dyDescent="0.35">
      <c r="A21" s="19"/>
      <c r="B21" s="19"/>
      <c r="C21" s="19"/>
      <c r="D21" s="22" t="s">
        <v>89</v>
      </c>
      <c r="E21" s="19"/>
      <c r="F21" s="19"/>
      <c r="G21" s="19"/>
      <c r="H21" s="19"/>
      <c r="I21" s="19"/>
      <c r="J21" s="19"/>
      <c r="K21" s="19"/>
      <c r="L21" s="19"/>
      <c r="M21" s="19"/>
      <c r="N21" s="19"/>
      <c r="O21" s="19"/>
      <c r="P21" s="19"/>
      <c r="Q21" s="19"/>
      <c r="R21" s="19"/>
      <c r="S21" s="19"/>
      <c r="T21" s="19"/>
    </row>
    <row r="22" spans="1:20" ht="21" x14ac:dyDescent="0.35">
      <c r="A22" s="19"/>
      <c r="B22" s="19"/>
      <c r="C22" s="21"/>
      <c r="D22" s="21"/>
      <c r="E22" s="19"/>
      <c r="F22" s="22" t="s">
        <v>133</v>
      </c>
      <c r="G22" s="19"/>
      <c r="H22" s="19"/>
      <c r="I22" s="19"/>
      <c r="J22" s="19"/>
      <c r="K22" s="19"/>
      <c r="L22" s="19"/>
      <c r="M22" s="19"/>
      <c r="N22" s="19"/>
      <c r="O22" s="19"/>
      <c r="P22" s="19"/>
      <c r="Q22" s="19"/>
      <c r="R22" s="19"/>
      <c r="S22" s="19"/>
      <c r="T22" s="19"/>
    </row>
    <row r="23" spans="1:20" ht="18.5" x14ac:dyDescent="0.35">
      <c r="A23" s="19"/>
      <c r="B23" s="19" t="s">
        <v>134</v>
      </c>
      <c r="C23" s="19"/>
      <c r="D23" s="19"/>
      <c r="E23" s="19"/>
      <c r="F23" s="19"/>
      <c r="G23" s="19"/>
      <c r="H23" s="19"/>
      <c r="I23" s="19"/>
      <c r="J23" s="19"/>
      <c r="K23" s="19"/>
      <c r="L23" s="19"/>
      <c r="M23" s="19"/>
      <c r="N23" s="19"/>
      <c r="O23" s="19"/>
      <c r="P23" s="19"/>
      <c r="Q23" s="19"/>
      <c r="R23" s="19"/>
      <c r="S23" s="19"/>
      <c r="T23" s="19"/>
    </row>
    <row r="24" spans="1:20" ht="18.5" x14ac:dyDescent="0.35">
      <c r="A24" s="19"/>
      <c r="B24" s="19" t="s">
        <v>135</v>
      </c>
      <c r="C24" s="19"/>
      <c r="D24" s="19"/>
      <c r="E24" s="19"/>
      <c r="F24" s="19"/>
      <c r="G24" s="19"/>
      <c r="H24" s="19"/>
      <c r="I24" s="19"/>
      <c r="J24" s="19"/>
      <c r="K24" s="19"/>
      <c r="L24" s="19"/>
      <c r="M24" s="19"/>
      <c r="N24" s="19"/>
      <c r="O24" s="19"/>
      <c r="P24" s="19"/>
      <c r="Q24" s="19"/>
      <c r="R24" s="19"/>
      <c r="S24" s="19"/>
      <c r="T24" s="19"/>
    </row>
    <row r="25" spans="1:20" ht="18.5" x14ac:dyDescent="0.35">
      <c r="A25" s="19"/>
      <c r="B25" s="19" t="s">
        <v>136</v>
      </c>
      <c r="C25" s="19"/>
      <c r="D25" s="19"/>
      <c r="E25" s="19"/>
      <c r="F25" s="19"/>
      <c r="G25" s="19"/>
      <c r="H25" s="19"/>
      <c r="I25" s="19"/>
      <c r="J25" s="19"/>
      <c r="K25" s="19"/>
      <c r="L25" s="19"/>
      <c r="M25" s="19"/>
      <c r="N25" s="19"/>
      <c r="O25" s="19"/>
      <c r="P25" s="19"/>
      <c r="Q25" s="19"/>
      <c r="R25" s="19"/>
      <c r="S25" s="19"/>
      <c r="T25" s="19"/>
    </row>
    <row r="26" spans="1:20" ht="18.5" x14ac:dyDescent="0.35">
      <c r="A26" s="19"/>
      <c r="B26" s="19" t="s">
        <v>137</v>
      </c>
      <c r="C26" s="19"/>
      <c r="D26" s="19"/>
      <c r="E26" s="19"/>
      <c r="F26" s="19"/>
      <c r="G26" s="19"/>
      <c r="H26" s="19"/>
      <c r="I26" s="19"/>
      <c r="J26" s="19"/>
      <c r="K26" s="19"/>
      <c r="L26" s="19"/>
      <c r="M26" s="19"/>
      <c r="N26" s="19"/>
      <c r="O26" s="19"/>
      <c r="P26" s="19"/>
      <c r="Q26" s="19"/>
      <c r="R26" s="19"/>
      <c r="S26" s="19"/>
      <c r="T26" s="19"/>
    </row>
    <row r="27" spans="1:20" ht="18.5" x14ac:dyDescent="0.35">
      <c r="A27" s="19"/>
      <c r="B27" s="19" t="s">
        <v>114</v>
      </c>
      <c r="C27" s="19"/>
      <c r="D27" s="19"/>
      <c r="E27" s="19"/>
      <c r="F27" s="19"/>
      <c r="G27" s="19"/>
      <c r="H27" s="19"/>
      <c r="I27" s="19"/>
      <c r="J27" s="19"/>
      <c r="K27" s="19"/>
      <c r="L27" s="19"/>
      <c r="M27" s="19"/>
      <c r="N27" s="19"/>
      <c r="O27" s="19"/>
      <c r="P27" s="19"/>
      <c r="Q27" s="19"/>
      <c r="R27" s="19"/>
      <c r="S27" s="19"/>
      <c r="T27" s="19"/>
    </row>
    <row r="28" spans="1:20" ht="18.5" x14ac:dyDescent="0.35">
      <c r="A28" s="19"/>
      <c r="B28" s="19" t="s">
        <v>115</v>
      </c>
      <c r="C28" s="19"/>
      <c r="D28" s="19"/>
      <c r="E28" s="19"/>
      <c r="F28" s="19"/>
      <c r="G28" s="19"/>
      <c r="H28" s="19"/>
      <c r="I28" s="19"/>
      <c r="J28" s="19"/>
      <c r="K28" s="19"/>
      <c r="L28" s="19"/>
      <c r="M28" s="19"/>
      <c r="N28" s="19"/>
      <c r="O28" s="19"/>
      <c r="P28" s="19"/>
      <c r="Q28" s="19"/>
      <c r="R28" s="19"/>
      <c r="S28" s="19"/>
      <c r="T28" s="19"/>
    </row>
    <row r="29" spans="1:20" ht="21" x14ac:dyDescent="0.35">
      <c r="A29" s="19"/>
      <c r="B29" s="17"/>
      <c r="C29" s="19"/>
      <c r="D29" s="19"/>
      <c r="E29" s="19"/>
      <c r="F29" s="22" t="s">
        <v>142</v>
      </c>
      <c r="G29" s="19"/>
      <c r="H29" s="19"/>
      <c r="I29" s="19"/>
      <c r="J29" s="19"/>
      <c r="K29" s="19"/>
      <c r="L29" s="19"/>
      <c r="M29" s="19"/>
      <c r="N29" s="19"/>
      <c r="O29" s="19"/>
      <c r="P29" s="19"/>
      <c r="Q29" s="19"/>
      <c r="R29" s="19"/>
      <c r="S29" s="19"/>
      <c r="T29" s="19"/>
    </row>
    <row r="30" spans="1:20" ht="18.5" x14ac:dyDescent="0.35">
      <c r="A30" s="19"/>
      <c r="B30" s="19" t="s">
        <v>143</v>
      </c>
      <c r="C30" s="19"/>
      <c r="D30" s="21"/>
      <c r="E30" s="19"/>
      <c r="F30" s="19"/>
      <c r="G30" s="19"/>
      <c r="H30" s="19"/>
      <c r="I30" s="19"/>
      <c r="J30" s="19"/>
      <c r="K30" s="19"/>
      <c r="L30" s="19"/>
      <c r="M30" s="19"/>
      <c r="N30" s="19"/>
      <c r="O30" s="19"/>
      <c r="P30" s="19"/>
      <c r="Q30" s="19"/>
      <c r="R30" s="19"/>
      <c r="S30" s="19"/>
      <c r="T30" s="19"/>
    </row>
    <row r="31" spans="1:20" ht="18.5" x14ac:dyDescent="0.35">
      <c r="A31" s="19"/>
      <c r="B31" s="19" t="s">
        <v>144</v>
      </c>
      <c r="C31" s="21"/>
      <c r="D31" s="19"/>
      <c r="E31" s="19"/>
      <c r="F31" s="19"/>
      <c r="G31" s="19"/>
      <c r="H31" s="19"/>
      <c r="I31" s="19"/>
      <c r="J31" s="19"/>
      <c r="K31" s="19"/>
      <c r="L31" s="19"/>
      <c r="M31" s="19"/>
      <c r="N31" s="19"/>
      <c r="O31" s="19"/>
      <c r="P31" s="19"/>
      <c r="Q31" s="19"/>
      <c r="R31" s="19"/>
      <c r="S31" s="19"/>
      <c r="T31" s="19"/>
    </row>
    <row r="32" spans="1:20" ht="18.5" x14ac:dyDescent="0.35">
      <c r="A32" s="19"/>
      <c r="B32" s="19" t="s">
        <v>145</v>
      </c>
      <c r="C32" s="19"/>
      <c r="D32" s="19"/>
      <c r="E32" s="19"/>
      <c r="F32" s="19"/>
      <c r="G32" s="19"/>
      <c r="H32" s="19"/>
      <c r="I32" s="19"/>
      <c r="J32" s="19"/>
      <c r="K32" s="19"/>
      <c r="L32" s="19"/>
      <c r="M32" s="19"/>
      <c r="N32" s="19"/>
      <c r="O32" s="19"/>
      <c r="P32" s="19"/>
      <c r="Q32" s="19"/>
      <c r="R32" s="19"/>
      <c r="S32" s="19"/>
      <c r="T32" s="19"/>
    </row>
    <row r="33" spans="1:20" ht="18.5" x14ac:dyDescent="0.35">
      <c r="A33" s="19"/>
      <c r="B33" s="19" t="s">
        <v>146</v>
      </c>
      <c r="C33" s="19"/>
      <c r="D33" s="19"/>
      <c r="E33" s="19"/>
      <c r="F33" s="19"/>
      <c r="G33" s="19"/>
      <c r="H33" s="19"/>
      <c r="I33" s="19"/>
      <c r="J33" s="19"/>
      <c r="K33" s="19"/>
      <c r="L33" s="19"/>
      <c r="M33" s="19"/>
      <c r="N33" s="19"/>
      <c r="O33" s="19"/>
      <c r="P33" s="19"/>
      <c r="Q33" s="19"/>
      <c r="R33" s="19"/>
      <c r="S33" s="19"/>
      <c r="T33" s="19"/>
    </row>
    <row r="34" spans="1:20" ht="18.5" x14ac:dyDescent="0.35">
      <c r="A34" s="19"/>
      <c r="B34" s="19" t="s">
        <v>104</v>
      </c>
      <c r="C34" s="19"/>
      <c r="D34" s="19"/>
      <c r="E34" s="19"/>
      <c r="F34" s="19"/>
      <c r="G34" s="19"/>
      <c r="H34" s="19"/>
      <c r="I34" s="19"/>
      <c r="J34" s="19"/>
      <c r="K34" s="19"/>
      <c r="L34" s="19"/>
      <c r="M34" s="19"/>
      <c r="N34" s="19"/>
      <c r="O34" s="19"/>
      <c r="P34" s="19"/>
      <c r="Q34" s="19"/>
      <c r="R34" s="19"/>
      <c r="S34" s="19"/>
      <c r="T34" s="19"/>
    </row>
    <row r="35" spans="1:20" ht="21" x14ac:dyDescent="0.35">
      <c r="A35" s="19"/>
      <c r="B35" s="17"/>
      <c r="C35" s="19"/>
      <c r="D35" s="19"/>
      <c r="E35" s="19"/>
      <c r="F35" s="22" t="s">
        <v>167</v>
      </c>
      <c r="G35" s="19"/>
      <c r="H35" s="19"/>
      <c r="I35" s="19"/>
      <c r="J35" s="19"/>
      <c r="K35" s="19"/>
      <c r="L35" s="19"/>
      <c r="M35" s="19"/>
      <c r="N35" s="19"/>
      <c r="O35" s="19"/>
      <c r="P35" s="19"/>
      <c r="Q35" s="19"/>
      <c r="R35" s="19"/>
      <c r="S35" s="19"/>
      <c r="T35" s="19"/>
    </row>
    <row r="36" spans="1:20" ht="18.5" x14ac:dyDescent="0.35">
      <c r="A36" s="19"/>
      <c r="B36" s="19" t="s">
        <v>132</v>
      </c>
      <c r="C36" s="19"/>
      <c r="D36" s="19"/>
      <c r="E36" s="19"/>
      <c r="F36" s="19"/>
      <c r="G36" s="19"/>
      <c r="H36" s="19"/>
      <c r="I36" s="19"/>
      <c r="J36" s="19"/>
      <c r="K36" s="19"/>
      <c r="L36" s="19"/>
      <c r="M36" s="19"/>
      <c r="N36" s="19"/>
      <c r="O36" s="19"/>
      <c r="P36" s="19"/>
      <c r="Q36" s="19"/>
      <c r="R36" s="19"/>
      <c r="S36" s="19"/>
      <c r="T36" s="19"/>
    </row>
    <row r="37" spans="1:20" ht="18.5" x14ac:dyDescent="0.35">
      <c r="A37" s="19"/>
      <c r="B37" s="19" t="s">
        <v>251</v>
      </c>
      <c r="C37" s="19"/>
      <c r="D37" s="19"/>
      <c r="E37" s="19"/>
      <c r="F37" s="19"/>
      <c r="G37" s="19"/>
      <c r="H37" s="19"/>
      <c r="I37" s="19"/>
      <c r="J37" s="19"/>
      <c r="K37" s="19"/>
      <c r="L37" s="19"/>
      <c r="M37" s="19"/>
      <c r="N37" s="19"/>
      <c r="O37" s="19"/>
      <c r="P37" s="19"/>
      <c r="Q37" s="19"/>
      <c r="R37" s="19"/>
      <c r="S37" s="19"/>
      <c r="T37" s="19"/>
    </row>
    <row r="38" spans="1:20" ht="18.5" x14ac:dyDescent="0.35">
      <c r="A38" s="19"/>
      <c r="B38" s="19" t="s">
        <v>138</v>
      </c>
      <c r="C38" s="19"/>
      <c r="D38" s="19"/>
      <c r="E38" s="19"/>
      <c r="F38" s="19"/>
      <c r="G38" s="19"/>
      <c r="H38" s="19"/>
      <c r="I38" s="19"/>
      <c r="J38" s="19"/>
      <c r="K38" s="19"/>
      <c r="L38" s="19"/>
      <c r="M38" s="19"/>
      <c r="N38" s="19"/>
      <c r="O38" s="19"/>
      <c r="P38" s="19"/>
      <c r="Q38" s="19"/>
      <c r="R38" s="19"/>
      <c r="S38" s="19"/>
      <c r="T38" s="19"/>
    </row>
    <row r="39" spans="1:20" ht="18.5" x14ac:dyDescent="0.35">
      <c r="A39" s="19"/>
      <c r="B39" s="19" t="s">
        <v>252</v>
      </c>
      <c r="C39" s="19"/>
      <c r="D39" s="19"/>
      <c r="E39" s="19"/>
      <c r="F39" s="19"/>
      <c r="G39" s="19"/>
      <c r="H39" s="19"/>
      <c r="I39" s="19"/>
      <c r="J39" s="19"/>
      <c r="K39" s="19"/>
      <c r="L39" s="19"/>
      <c r="M39" s="19"/>
      <c r="N39" s="19"/>
      <c r="O39" s="19"/>
      <c r="P39" s="19"/>
      <c r="Q39" s="19"/>
      <c r="R39" s="19"/>
      <c r="S39" s="19"/>
      <c r="T39" s="19"/>
    </row>
    <row r="40" spans="1:20" ht="18.5" x14ac:dyDescent="0.35">
      <c r="A40" s="19"/>
      <c r="B40" s="19" t="s">
        <v>139</v>
      </c>
      <c r="C40" s="19"/>
      <c r="D40" s="19"/>
      <c r="E40" s="19"/>
      <c r="F40" s="19"/>
      <c r="G40" s="19"/>
      <c r="H40" s="19"/>
      <c r="I40" s="19"/>
      <c r="J40" s="19"/>
      <c r="K40" s="19"/>
      <c r="L40" s="19"/>
      <c r="M40" s="19"/>
      <c r="N40" s="19"/>
      <c r="O40" s="19"/>
      <c r="P40" s="19"/>
      <c r="Q40" s="19"/>
      <c r="R40" s="19"/>
      <c r="S40" s="19"/>
      <c r="T40" s="19"/>
    </row>
    <row r="41" spans="1:20" ht="18.5" x14ac:dyDescent="0.35">
      <c r="A41" s="19"/>
      <c r="B41" s="19" t="s">
        <v>253</v>
      </c>
      <c r="C41" s="19"/>
      <c r="D41" s="19"/>
      <c r="E41" s="19"/>
      <c r="F41" s="19"/>
      <c r="G41" s="19"/>
      <c r="H41" s="19"/>
      <c r="I41" s="19"/>
      <c r="J41" s="19"/>
      <c r="K41" s="19"/>
      <c r="L41" s="19"/>
      <c r="M41" s="19"/>
      <c r="N41" s="19"/>
      <c r="O41" s="19"/>
      <c r="P41" s="19"/>
      <c r="Q41" s="19"/>
      <c r="R41" s="19"/>
      <c r="S41" s="19"/>
      <c r="T41" s="19"/>
    </row>
    <row r="42" spans="1:20" ht="18.5" x14ac:dyDescent="0.35">
      <c r="A42" s="19"/>
      <c r="B42" s="19" t="s">
        <v>140</v>
      </c>
      <c r="C42" s="19"/>
      <c r="D42" s="19"/>
      <c r="E42" s="19"/>
      <c r="F42" s="19"/>
      <c r="G42" s="19"/>
      <c r="H42" s="19"/>
      <c r="I42" s="19"/>
      <c r="J42" s="19"/>
      <c r="K42" s="19"/>
      <c r="L42" s="19"/>
      <c r="M42" s="19"/>
      <c r="N42" s="19"/>
      <c r="O42" s="19"/>
      <c r="P42" s="19"/>
      <c r="Q42" s="19"/>
      <c r="R42" s="19"/>
      <c r="S42" s="19"/>
      <c r="T42" s="19"/>
    </row>
    <row r="43" spans="1:20" ht="18.5" x14ac:dyDescent="0.35">
      <c r="A43" s="19"/>
      <c r="B43" s="19" t="s">
        <v>254</v>
      </c>
      <c r="C43" s="19"/>
      <c r="D43" s="19"/>
      <c r="E43" s="19"/>
      <c r="F43" s="19"/>
      <c r="G43" s="19"/>
      <c r="H43" s="19"/>
      <c r="I43" s="19"/>
      <c r="J43" s="19"/>
      <c r="K43" s="19"/>
      <c r="L43" s="19"/>
      <c r="M43" s="19"/>
      <c r="N43" s="19"/>
      <c r="O43" s="19"/>
      <c r="P43" s="19"/>
      <c r="Q43" s="19"/>
      <c r="R43" s="19"/>
      <c r="S43" s="19"/>
      <c r="T43" s="19"/>
    </row>
    <row r="44" spans="1:20" ht="18.5" x14ac:dyDescent="0.35">
      <c r="A44" s="19"/>
      <c r="B44" s="19" t="s">
        <v>141</v>
      </c>
      <c r="C44" s="19"/>
      <c r="D44" s="19"/>
      <c r="E44" s="19"/>
      <c r="F44" s="19"/>
      <c r="G44" s="19"/>
      <c r="H44" s="19"/>
      <c r="I44" s="19"/>
      <c r="J44" s="19"/>
      <c r="K44" s="19"/>
      <c r="L44" s="19"/>
      <c r="M44" s="19"/>
      <c r="N44" s="19"/>
      <c r="O44" s="19"/>
      <c r="P44" s="19"/>
      <c r="Q44" s="19"/>
      <c r="R44" s="19"/>
      <c r="S44" s="19"/>
      <c r="T44" s="19"/>
    </row>
    <row r="45" spans="1:20" ht="18.5" x14ac:dyDescent="0.35">
      <c r="A45" s="19"/>
      <c r="B45" s="19"/>
      <c r="C45" s="19"/>
      <c r="D45" s="19"/>
      <c r="E45" s="19"/>
      <c r="F45" s="19"/>
      <c r="G45" s="19"/>
      <c r="H45" s="19"/>
      <c r="I45" s="19"/>
      <c r="J45" s="19"/>
      <c r="K45" s="19"/>
      <c r="L45" s="19"/>
      <c r="M45" s="19"/>
      <c r="N45" s="19"/>
      <c r="O45" s="19"/>
      <c r="P45" s="19"/>
      <c r="Q45" s="19"/>
      <c r="R45" s="19"/>
      <c r="S45" s="19"/>
      <c r="T45" s="19"/>
    </row>
    <row r="46" spans="1:20" ht="21" x14ac:dyDescent="0.35">
      <c r="A46" s="19"/>
      <c r="B46" s="19"/>
      <c r="C46" s="19"/>
      <c r="D46" s="22" t="s">
        <v>148</v>
      </c>
      <c r="E46" s="23"/>
      <c r="F46" s="23"/>
      <c r="G46" s="23"/>
      <c r="H46" s="23"/>
      <c r="I46" s="23"/>
      <c r="J46" s="19"/>
      <c r="K46" s="19"/>
      <c r="L46" s="19"/>
      <c r="M46" s="19"/>
      <c r="N46" s="19"/>
      <c r="O46" s="19"/>
      <c r="P46" s="19"/>
      <c r="Q46" s="19"/>
      <c r="R46" s="19"/>
      <c r="S46" s="19"/>
      <c r="T46" s="19"/>
    </row>
    <row r="47" spans="1:20" ht="21" x14ac:dyDescent="0.35">
      <c r="A47" s="19"/>
      <c r="B47" s="19"/>
      <c r="C47" s="19"/>
      <c r="D47" s="23"/>
      <c r="E47" s="23"/>
      <c r="F47" s="22" t="s">
        <v>147</v>
      </c>
      <c r="G47" s="23"/>
      <c r="H47" s="23"/>
      <c r="I47" s="23"/>
      <c r="J47" s="19"/>
      <c r="K47" s="19"/>
      <c r="L47" s="19"/>
      <c r="M47" s="19"/>
      <c r="N47" s="19"/>
      <c r="O47" s="19"/>
      <c r="P47" s="19"/>
      <c r="Q47" s="19"/>
      <c r="R47" s="19"/>
      <c r="S47" s="19"/>
      <c r="T47" s="19"/>
    </row>
    <row r="48" spans="1:20" ht="18.5" x14ac:dyDescent="0.35">
      <c r="A48" s="19"/>
      <c r="B48" s="19" t="s">
        <v>151</v>
      </c>
      <c r="C48" s="19"/>
      <c r="D48" s="19"/>
      <c r="E48" s="19"/>
      <c r="F48" s="19"/>
      <c r="G48" s="19"/>
      <c r="H48" s="19"/>
      <c r="I48" s="19"/>
      <c r="J48" s="19"/>
      <c r="K48" s="19"/>
      <c r="L48" s="19"/>
      <c r="M48" s="19"/>
      <c r="N48" s="19"/>
      <c r="O48" s="19"/>
      <c r="P48" s="19"/>
      <c r="Q48" s="19"/>
      <c r="R48" s="19"/>
      <c r="S48" s="19"/>
      <c r="T48" s="19"/>
    </row>
    <row r="49" spans="1:20" ht="18.5" x14ac:dyDescent="0.35">
      <c r="A49" s="19"/>
      <c r="B49" s="19" t="s">
        <v>152</v>
      </c>
      <c r="C49" s="19"/>
      <c r="D49" s="19"/>
      <c r="E49" s="19"/>
      <c r="F49" s="19"/>
      <c r="G49" s="19"/>
      <c r="H49" s="19"/>
      <c r="I49" s="19"/>
      <c r="J49" s="19"/>
      <c r="K49" s="19"/>
      <c r="L49" s="19"/>
      <c r="M49" s="19"/>
      <c r="N49" s="19"/>
      <c r="O49" s="19"/>
      <c r="P49" s="19"/>
      <c r="Q49" s="19"/>
      <c r="R49" s="19"/>
      <c r="S49" s="19"/>
      <c r="T49" s="19"/>
    </row>
    <row r="50" spans="1:20" ht="18.5" x14ac:dyDescent="0.35">
      <c r="A50" s="19"/>
      <c r="B50" s="19" t="s">
        <v>153</v>
      </c>
      <c r="C50" s="19"/>
      <c r="D50" s="19"/>
      <c r="E50" s="19"/>
      <c r="F50" s="19"/>
      <c r="G50" s="19"/>
      <c r="H50" s="19"/>
      <c r="I50" s="19"/>
      <c r="J50" s="19"/>
      <c r="K50" s="19"/>
      <c r="L50" s="19"/>
      <c r="M50" s="19"/>
      <c r="N50" s="19"/>
      <c r="O50" s="19"/>
      <c r="P50" s="19"/>
      <c r="Q50" s="19"/>
      <c r="R50" s="19"/>
      <c r="S50" s="19"/>
      <c r="T50" s="19"/>
    </row>
    <row r="51" spans="1:20" ht="18.5" x14ac:dyDescent="0.35">
      <c r="A51" s="19"/>
      <c r="B51" s="19" t="s">
        <v>154</v>
      </c>
      <c r="C51" s="19"/>
      <c r="D51" s="19"/>
      <c r="E51" s="19"/>
      <c r="F51" s="19"/>
      <c r="G51" s="19"/>
      <c r="H51" s="19"/>
      <c r="I51" s="19"/>
      <c r="J51" s="19"/>
      <c r="K51" s="19"/>
      <c r="L51" s="19"/>
      <c r="M51" s="19"/>
      <c r="N51" s="19"/>
      <c r="O51" s="19"/>
      <c r="P51" s="19"/>
      <c r="Q51" s="19"/>
      <c r="R51" s="19"/>
      <c r="S51" s="19"/>
      <c r="T51" s="19"/>
    </row>
    <row r="52" spans="1:20" ht="21" x14ac:dyDescent="0.35">
      <c r="A52" s="19"/>
      <c r="B52" s="19"/>
      <c r="C52" s="19"/>
      <c r="D52" s="19"/>
      <c r="E52" s="19"/>
      <c r="F52" s="22" t="s">
        <v>155</v>
      </c>
      <c r="G52" s="19"/>
      <c r="H52" s="19"/>
      <c r="I52" s="19"/>
      <c r="J52" s="19"/>
      <c r="K52" s="19"/>
      <c r="L52" s="19"/>
      <c r="M52" s="19"/>
      <c r="N52" s="19"/>
      <c r="O52" s="19"/>
      <c r="P52" s="19"/>
      <c r="Q52" s="19"/>
      <c r="R52" s="19"/>
      <c r="S52" s="19"/>
      <c r="T52" s="19"/>
    </row>
    <row r="53" spans="1:20" ht="18.5" x14ac:dyDescent="0.35">
      <c r="A53" s="19"/>
      <c r="B53" s="19" t="s">
        <v>156</v>
      </c>
      <c r="C53" s="19"/>
      <c r="D53" s="19"/>
      <c r="E53" s="19"/>
      <c r="F53" s="19"/>
      <c r="G53" s="19"/>
      <c r="H53" s="19"/>
      <c r="I53" s="19"/>
      <c r="J53" s="19"/>
      <c r="K53" s="19"/>
      <c r="L53" s="19"/>
      <c r="M53" s="19"/>
      <c r="N53" s="19"/>
      <c r="O53" s="19"/>
      <c r="P53" s="19"/>
      <c r="Q53" s="19"/>
      <c r="R53" s="19"/>
      <c r="S53" s="19"/>
      <c r="T53" s="19"/>
    </row>
    <row r="54" spans="1:20" ht="18.5" x14ac:dyDescent="0.35">
      <c r="A54" s="19"/>
      <c r="B54" s="19" t="s">
        <v>157</v>
      </c>
      <c r="C54" s="19"/>
      <c r="D54" s="19"/>
      <c r="E54" s="19"/>
      <c r="F54" s="19"/>
      <c r="G54" s="19"/>
      <c r="H54" s="19"/>
      <c r="I54" s="19"/>
      <c r="J54" s="19"/>
      <c r="K54" s="19"/>
      <c r="L54" s="19"/>
      <c r="M54" s="19"/>
      <c r="N54" s="19"/>
      <c r="O54" s="19"/>
      <c r="P54" s="19"/>
      <c r="Q54" s="19"/>
      <c r="R54" s="19"/>
      <c r="S54" s="19"/>
      <c r="T54" s="19"/>
    </row>
    <row r="55" spans="1:20" ht="18.5" x14ac:dyDescent="0.35">
      <c r="A55" s="19"/>
      <c r="B55" s="19" t="s">
        <v>158</v>
      </c>
      <c r="C55" s="19"/>
      <c r="D55" s="19"/>
      <c r="E55" s="19"/>
      <c r="F55" s="19"/>
      <c r="G55" s="19"/>
      <c r="H55" s="19"/>
      <c r="I55" s="19"/>
      <c r="J55" s="19"/>
      <c r="K55" s="19"/>
      <c r="L55" s="19"/>
      <c r="M55" s="19"/>
      <c r="N55" s="19"/>
      <c r="O55" s="19"/>
      <c r="P55" s="19"/>
      <c r="Q55" s="19"/>
      <c r="R55" s="19"/>
      <c r="S55" s="19"/>
      <c r="T55" s="19"/>
    </row>
    <row r="56" spans="1:20" ht="18.5" x14ac:dyDescent="0.35">
      <c r="A56" s="19"/>
      <c r="B56" s="19" t="s">
        <v>159</v>
      </c>
      <c r="C56" s="19"/>
      <c r="D56" s="19"/>
      <c r="E56" s="19"/>
      <c r="F56" s="19"/>
      <c r="G56" s="19"/>
      <c r="H56" s="19"/>
      <c r="I56" s="19"/>
      <c r="J56" s="19"/>
      <c r="K56" s="19"/>
      <c r="L56" s="19"/>
      <c r="M56" s="19"/>
      <c r="N56" s="19"/>
      <c r="O56" s="19"/>
      <c r="P56" s="19"/>
      <c r="Q56" s="19"/>
      <c r="R56" s="19"/>
      <c r="S56" s="19"/>
      <c r="T56" s="19"/>
    </row>
    <row r="57" spans="1:20" ht="18.5" x14ac:dyDescent="0.35">
      <c r="A57" s="19"/>
      <c r="B57" s="19" t="s">
        <v>160</v>
      </c>
      <c r="C57" s="19"/>
      <c r="D57" s="19"/>
      <c r="E57" s="19"/>
      <c r="F57" s="19"/>
      <c r="G57" s="19"/>
      <c r="H57" s="19"/>
      <c r="I57" s="19"/>
      <c r="J57" s="19"/>
      <c r="K57" s="19"/>
      <c r="L57" s="19"/>
      <c r="M57" s="19"/>
      <c r="N57" s="19"/>
      <c r="O57" s="19"/>
      <c r="P57" s="19"/>
      <c r="Q57" s="19"/>
      <c r="R57" s="19"/>
      <c r="S57" s="19"/>
      <c r="T57" s="19"/>
    </row>
    <row r="58" spans="1:20" ht="21" x14ac:dyDescent="0.35">
      <c r="A58" s="19"/>
      <c r="B58" s="19"/>
      <c r="C58" s="19"/>
      <c r="D58" s="19"/>
      <c r="E58" s="19"/>
      <c r="F58" s="22" t="s">
        <v>162</v>
      </c>
      <c r="G58" s="19"/>
      <c r="H58" s="19"/>
      <c r="I58" s="19"/>
      <c r="J58" s="19"/>
      <c r="K58" s="19"/>
      <c r="L58" s="19"/>
      <c r="M58" s="19"/>
      <c r="N58" s="19"/>
      <c r="O58" s="19"/>
      <c r="P58" s="19"/>
      <c r="Q58" s="19"/>
      <c r="R58" s="19"/>
      <c r="S58" s="19"/>
      <c r="T58" s="19"/>
    </row>
    <row r="59" spans="1:20" ht="18.5" x14ac:dyDescent="0.35">
      <c r="A59" s="19"/>
      <c r="B59" s="19" t="s">
        <v>163</v>
      </c>
      <c r="C59" s="19"/>
      <c r="D59" s="19"/>
      <c r="E59" s="19"/>
      <c r="F59" s="19"/>
      <c r="G59" s="19"/>
      <c r="H59" s="19"/>
      <c r="I59" s="19"/>
      <c r="J59" s="19"/>
      <c r="K59" s="19"/>
      <c r="L59" s="19"/>
      <c r="M59" s="19"/>
      <c r="N59" s="19"/>
      <c r="O59" s="19"/>
      <c r="P59" s="19"/>
      <c r="Q59" s="19"/>
      <c r="R59" s="19"/>
      <c r="S59" s="19"/>
      <c r="T59" s="19"/>
    </row>
    <row r="60" spans="1:20" ht="18.5" x14ac:dyDescent="0.35">
      <c r="A60" s="19"/>
      <c r="B60" s="19" t="s">
        <v>164</v>
      </c>
      <c r="C60" s="19"/>
      <c r="D60" s="19"/>
      <c r="E60" s="19"/>
      <c r="F60" s="19"/>
      <c r="G60" s="19"/>
      <c r="H60" s="19"/>
      <c r="I60" s="19"/>
      <c r="J60" s="19"/>
      <c r="K60" s="19"/>
      <c r="L60" s="19"/>
      <c r="M60" s="19"/>
      <c r="N60" s="19"/>
      <c r="O60" s="19"/>
      <c r="P60" s="19"/>
      <c r="Q60" s="19"/>
      <c r="R60" s="19"/>
      <c r="S60" s="19"/>
      <c r="T60" s="19"/>
    </row>
    <row r="61" spans="1:20" ht="18.5" x14ac:dyDescent="0.35">
      <c r="A61" s="19"/>
      <c r="B61" s="19" t="s">
        <v>165</v>
      </c>
      <c r="C61" s="19"/>
      <c r="D61" s="19"/>
      <c r="E61" s="19"/>
      <c r="F61" s="19"/>
      <c r="G61" s="19"/>
      <c r="H61" s="19"/>
      <c r="I61" s="19"/>
      <c r="J61" s="19"/>
      <c r="K61" s="19"/>
      <c r="L61" s="19"/>
      <c r="M61" s="19"/>
      <c r="N61" s="19"/>
      <c r="O61" s="19"/>
      <c r="P61" s="19"/>
      <c r="Q61" s="19"/>
      <c r="R61" s="19"/>
      <c r="S61" s="19"/>
      <c r="T61" s="19"/>
    </row>
    <row r="62" spans="1:20" ht="18.5" x14ac:dyDescent="0.35">
      <c r="A62" s="19"/>
      <c r="B62" s="19" t="s">
        <v>166</v>
      </c>
      <c r="C62" s="19"/>
      <c r="D62" s="19"/>
      <c r="E62" s="19"/>
      <c r="F62" s="19"/>
      <c r="G62" s="19"/>
      <c r="H62" s="19"/>
      <c r="I62" s="19"/>
      <c r="J62" s="19"/>
      <c r="K62" s="19"/>
      <c r="L62" s="19"/>
      <c r="M62" s="19"/>
      <c r="N62" s="19"/>
      <c r="O62" s="19"/>
      <c r="P62" s="19"/>
      <c r="Q62" s="19"/>
      <c r="R62" s="19"/>
      <c r="S62" s="19"/>
      <c r="T62" s="19"/>
    </row>
    <row r="63" spans="1:20" ht="18.5" x14ac:dyDescent="0.35">
      <c r="A63" s="19"/>
      <c r="B63" s="19"/>
      <c r="C63" s="19"/>
      <c r="D63" s="19"/>
      <c r="E63" s="19"/>
      <c r="F63" s="19"/>
      <c r="G63" s="19"/>
      <c r="H63" s="19"/>
      <c r="I63" s="19"/>
      <c r="J63" s="19"/>
      <c r="K63" s="19"/>
      <c r="L63" s="19"/>
      <c r="M63" s="19"/>
      <c r="N63" s="19"/>
      <c r="O63" s="19"/>
      <c r="P63" s="19"/>
      <c r="Q63" s="19"/>
      <c r="R63" s="19"/>
      <c r="S63" s="19"/>
      <c r="T63" s="19"/>
    </row>
    <row r="64" spans="1:20" ht="21" x14ac:dyDescent="0.35">
      <c r="A64" s="19"/>
      <c r="B64" s="19"/>
      <c r="C64" s="19"/>
      <c r="D64" s="22" t="s">
        <v>168</v>
      </c>
      <c r="E64" s="19"/>
      <c r="F64" s="19"/>
      <c r="G64" s="19"/>
      <c r="H64" s="19"/>
      <c r="I64" s="19"/>
      <c r="J64" s="19"/>
      <c r="K64" s="19"/>
      <c r="L64" s="19"/>
      <c r="M64" s="19"/>
      <c r="N64" s="19"/>
      <c r="O64" s="19"/>
      <c r="P64" s="19"/>
      <c r="Q64" s="19"/>
      <c r="R64" s="19"/>
      <c r="S64" s="19"/>
      <c r="T64" s="19"/>
    </row>
    <row r="65" spans="1:20" ht="18.5" x14ac:dyDescent="0.35">
      <c r="A65" s="19"/>
      <c r="B65" s="19" t="s">
        <v>188</v>
      </c>
      <c r="C65" s="19"/>
      <c r="D65" s="19"/>
      <c r="E65" s="19"/>
      <c r="F65" s="19"/>
      <c r="G65" s="19"/>
      <c r="H65" s="19"/>
      <c r="I65" s="19"/>
      <c r="J65" s="19"/>
      <c r="K65" s="19"/>
      <c r="L65" s="19"/>
      <c r="M65" s="19"/>
      <c r="N65" s="19"/>
      <c r="O65" s="19"/>
      <c r="P65" s="19"/>
      <c r="Q65" s="19"/>
      <c r="R65" s="19"/>
      <c r="S65" s="19"/>
      <c r="T65" s="19"/>
    </row>
    <row r="66" spans="1:20" ht="18.5" x14ac:dyDescent="0.35">
      <c r="A66" s="19"/>
      <c r="B66" s="17" t="s">
        <v>189</v>
      </c>
      <c r="C66" s="19"/>
      <c r="D66" s="19"/>
      <c r="E66" s="19"/>
      <c r="F66" s="19"/>
      <c r="G66" s="19"/>
      <c r="H66" s="19"/>
      <c r="I66" s="19"/>
      <c r="J66" s="19"/>
      <c r="K66" s="19"/>
      <c r="L66" s="19"/>
      <c r="M66" s="19"/>
      <c r="N66" s="19"/>
      <c r="O66" s="19"/>
      <c r="P66" s="19"/>
      <c r="Q66" s="19"/>
      <c r="R66" s="19"/>
      <c r="S66" s="19"/>
      <c r="T66" s="19"/>
    </row>
    <row r="67" spans="1:20" ht="18.5" x14ac:dyDescent="0.35">
      <c r="A67" s="19"/>
      <c r="B67" s="17" t="s">
        <v>190</v>
      </c>
      <c r="C67" s="19"/>
      <c r="D67" s="19"/>
      <c r="E67" s="19"/>
      <c r="F67" s="19"/>
      <c r="G67" s="19"/>
      <c r="H67" s="19"/>
      <c r="I67" s="19"/>
      <c r="J67" s="19"/>
      <c r="K67" s="19"/>
      <c r="L67" s="19"/>
      <c r="M67" s="19"/>
      <c r="N67" s="19"/>
      <c r="O67" s="19"/>
      <c r="P67" s="19"/>
      <c r="Q67" s="19"/>
      <c r="R67" s="19"/>
      <c r="S67" s="19"/>
      <c r="T67" s="19"/>
    </row>
    <row r="68" spans="1:20" ht="18.5" x14ac:dyDescent="0.35">
      <c r="A68" s="19"/>
      <c r="B68" s="17" t="s">
        <v>191</v>
      </c>
      <c r="C68" s="19"/>
      <c r="D68" s="19"/>
      <c r="E68" s="19"/>
      <c r="F68" s="19"/>
      <c r="G68" s="19"/>
      <c r="H68" s="19"/>
      <c r="I68" s="19"/>
      <c r="J68" s="19"/>
      <c r="K68" s="19"/>
      <c r="L68" s="19"/>
      <c r="M68" s="19"/>
      <c r="N68" s="19"/>
      <c r="O68" s="19"/>
      <c r="P68" s="19"/>
      <c r="Q68" s="19"/>
      <c r="R68" s="19"/>
      <c r="S68" s="19"/>
      <c r="T68" s="19"/>
    </row>
    <row r="69" spans="1:20" ht="18.5" x14ac:dyDescent="0.35">
      <c r="A69" s="19"/>
      <c r="B69" s="17" t="s">
        <v>192</v>
      </c>
      <c r="C69" s="19"/>
      <c r="D69" s="19"/>
      <c r="E69" s="19"/>
      <c r="F69" s="19"/>
      <c r="G69" s="19"/>
      <c r="H69" s="19"/>
      <c r="I69" s="19"/>
      <c r="J69" s="19"/>
      <c r="K69" s="19"/>
      <c r="L69" s="19"/>
      <c r="M69" s="19"/>
      <c r="N69" s="19"/>
      <c r="O69" s="19"/>
      <c r="P69" s="19"/>
      <c r="Q69" s="19"/>
      <c r="R69" s="19"/>
      <c r="S69" s="19"/>
      <c r="T69" s="19"/>
    </row>
    <row r="70" spans="1:20" ht="18.5" x14ac:dyDescent="0.35">
      <c r="A70" s="19"/>
      <c r="B70" s="17" t="s">
        <v>193</v>
      </c>
      <c r="C70" s="19"/>
      <c r="D70" s="19"/>
      <c r="E70" s="19"/>
      <c r="F70" s="19"/>
      <c r="G70" s="19"/>
      <c r="H70" s="19"/>
      <c r="I70" s="19"/>
      <c r="J70" s="19"/>
      <c r="K70" s="19"/>
      <c r="L70" s="19"/>
      <c r="M70" s="19"/>
      <c r="N70" s="19"/>
      <c r="O70" s="19"/>
      <c r="P70" s="19"/>
      <c r="Q70" s="19"/>
      <c r="R70" s="19"/>
      <c r="S70" s="19"/>
      <c r="T70" s="19"/>
    </row>
    <row r="71" spans="1:20" ht="18.5" x14ac:dyDescent="0.35">
      <c r="A71" s="19"/>
      <c r="B71" s="19"/>
      <c r="C71" s="19"/>
      <c r="D71" s="19"/>
      <c r="E71" s="19"/>
      <c r="F71" s="19"/>
      <c r="G71" s="19"/>
      <c r="H71" s="19"/>
      <c r="I71" s="19"/>
      <c r="J71" s="19"/>
      <c r="K71" s="19"/>
      <c r="L71" s="19"/>
      <c r="M71" s="19"/>
      <c r="N71" s="19"/>
      <c r="O71" s="19"/>
      <c r="P71" s="19"/>
      <c r="Q71" s="19"/>
      <c r="R71" s="19"/>
      <c r="S71" s="19"/>
      <c r="T71" s="19"/>
    </row>
    <row r="72" spans="1:20" ht="18.5" x14ac:dyDescent="0.35">
      <c r="A72" s="19"/>
      <c r="B72" s="19" t="s">
        <v>194</v>
      </c>
      <c r="C72" s="19"/>
      <c r="D72" s="19"/>
      <c r="E72" s="19"/>
      <c r="F72" s="19"/>
      <c r="G72" s="19"/>
      <c r="H72" s="19"/>
      <c r="I72" s="19"/>
      <c r="J72" s="19"/>
      <c r="K72" s="19"/>
      <c r="L72" s="19"/>
      <c r="M72" s="19"/>
      <c r="N72" s="19"/>
      <c r="O72" s="19"/>
      <c r="P72" s="19"/>
      <c r="Q72" s="19"/>
      <c r="R72" s="19"/>
      <c r="S72" s="19"/>
      <c r="T72" s="1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7AE18-DBE9-4AC0-8AA9-EFB7461B1CC8}">
  <dimension ref="B1:P11"/>
  <sheetViews>
    <sheetView showGridLines="0" showRowColHeaders="0" tabSelected="1" workbookViewId="0">
      <selection activeCell="F16" sqref="F15:F16"/>
    </sheetView>
  </sheetViews>
  <sheetFormatPr defaultRowHeight="14.5" x14ac:dyDescent="0.35"/>
  <sheetData>
    <row r="1" spans="2:16" ht="28.5" x14ac:dyDescent="0.65">
      <c r="F1" s="24" t="s">
        <v>202</v>
      </c>
    </row>
    <row r="3" spans="2:16" ht="18.5" x14ac:dyDescent="0.45">
      <c r="B3" s="13" t="s">
        <v>203</v>
      </c>
      <c r="C3" s="13"/>
      <c r="D3" s="13"/>
      <c r="E3" s="13"/>
      <c r="F3" s="13"/>
      <c r="G3" s="13"/>
      <c r="H3" s="13"/>
      <c r="I3" s="13"/>
      <c r="J3" s="13"/>
      <c r="K3" s="13"/>
      <c r="L3" s="13"/>
      <c r="M3" s="13"/>
      <c r="N3" s="13"/>
      <c r="O3" s="13"/>
      <c r="P3" s="13"/>
    </row>
    <row r="4" spans="2:16" ht="18.5" x14ac:dyDescent="0.45">
      <c r="B4" s="13" t="s">
        <v>204</v>
      </c>
      <c r="C4" s="13"/>
      <c r="D4" s="13"/>
      <c r="E4" s="13"/>
      <c r="F4" s="13"/>
      <c r="G4" s="13"/>
      <c r="H4" s="13"/>
      <c r="I4" s="13"/>
      <c r="J4" s="13"/>
      <c r="K4" s="13"/>
      <c r="L4" s="13"/>
      <c r="M4" s="13"/>
      <c r="N4" s="13"/>
      <c r="O4" s="13"/>
      <c r="P4" s="13"/>
    </row>
    <row r="5" spans="2:16" ht="18.5" x14ac:dyDescent="0.45">
      <c r="B5" s="25" t="s">
        <v>205</v>
      </c>
      <c r="C5" s="13"/>
      <c r="D5" s="13"/>
      <c r="E5" s="13"/>
      <c r="F5" s="13"/>
      <c r="G5" s="13"/>
      <c r="H5" s="13"/>
      <c r="I5" s="13"/>
      <c r="J5" s="13"/>
      <c r="K5" s="13"/>
      <c r="L5" s="13"/>
      <c r="M5" s="13"/>
      <c r="N5" s="13"/>
      <c r="O5" s="13"/>
      <c r="P5" s="13"/>
    </row>
    <row r="6" spans="2:16" ht="18.5" x14ac:dyDescent="0.45">
      <c r="B6" s="25" t="s">
        <v>206</v>
      </c>
      <c r="C6" s="13"/>
      <c r="D6" s="13"/>
      <c r="E6" s="13"/>
      <c r="F6" s="13"/>
      <c r="G6" s="13"/>
      <c r="H6" s="13"/>
      <c r="I6" s="13"/>
      <c r="J6" s="13"/>
      <c r="K6" s="13"/>
      <c r="L6" s="13"/>
      <c r="M6" s="13"/>
      <c r="N6" s="13"/>
      <c r="O6" s="13"/>
      <c r="P6" s="13"/>
    </row>
    <row r="7" spans="2:16" ht="18.5" x14ac:dyDescent="0.45">
      <c r="B7" s="25" t="s">
        <v>207</v>
      </c>
      <c r="C7" s="13"/>
      <c r="D7" s="13"/>
      <c r="E7" s="13"/>
      <c r="F7" s="13"/>
      <c r="G7" s="13"/>
      <c r="H7" s="13"/>
      <c r="I7" s="13"/>
      <c r="J7" s="13"/>
      <c r="K7" s="13"/>
      <c r="L7" s="13"/>
      <c r="M7" s="13"/>
      <c r="N7" s="13"/>
      <c r="O7" s="13"/>
      <c r="P7" s="13"/>
    </row>
    <row r="8" spans="2:16" ht="18.5" x14ac:dyDescent="0.45">
      <c r="B8" s="25" t="s">
        <v>208</v>
      </c>
      <c r="C8" s="13"/>
      <c r="D8" s="13"/>
      <c r="E8" s="13"/>
      <c r="F8" s="13"/>
      <c r="G8" s="13"/>
      <c r="H8" s="13"/>
      <c r="I8" s="13"/>
      <c r="J8" s="13"/>
      <c r="K8" s="13"/>
      <c r="L8" s="13"/>
      <c r="M8" s="13"/>
      <c r="N8" s="13"/>
      <c r="O8" s="13"/>
      <c r="P8" s="13"/>
    </row>
    <row r="9" spans="2:16" ht="18.5" x14ac:dyDescent="0.45">
      <c r="B9" s="13" t="s">
        <v>209</v>
      </c>
      <c r="C9" s="13"/>
      <c r="D9" s="13"/>
      <c r="E9" s="13"/>
      <c r="F9" s="13"/>
      <c r="G9" s="13"/>
      <c r="H9" s="13"/>
      <c r="I9" s="13"/>
      <c r="J9" s="13"/>
      <c r="K9" s="13"/>
      <c r="L9" s="13"/>
      <c r="M9" s="13"/>
      <c r="N9" s="13"/>
      <c r="O9" s="13"/>
      <c r="P9" s="13"/>
    </row>
    <row r="10" spans="2:16" ht="18.5" x14ac:dyDescent="0.45">
      <c r="B10" s="13" t="s">
        <v>210</v>
      </c>
      <c r="C10" s="13"/>
      <c r="D10" s="13"/>
      <c r="E10" s="13"/>
      <c r="F10" s="13"/>
      <c r="G10" s="13"/>
      <c r="H10" s="13"/>
      <c r="I10" s="13"/>
      <c r="J10" s="13"/>
      <c r="K10" s="13"/>
      <c r="L10" s="13"/>
      <c r="M10" s="13"/>
      <c r="N10" s="13"/>
      <c r="O10" s="13"/>
      <c r="P10" s="13"/>
    </row>
    <row r="11" spans="2:16" ht="18.5" x14ac:dyDescent="0.45">
      <c r="B11" s="13"/>
      <c r="C11" s="13"/>
      <c r="D11" s="13"/>
      <c r="E11" s="13"/>
      <c r="F11" s="13"/>
      <c r="G11" s="13"/>
      <c r="H11" s="13"/>
      <c r="I11" s="13"/>
      <c r="J11" s="13"/>
      <c r="K11" s="13"/>
      <c r="L11" s="13"/>
      <c r="M11" s="13"/>
      <c r="N11" s="13"/>
      <c r="O11" s="13"/>
      <c r="P11" s="1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15F0-A45D-4496-BABD-8244810C07D8}">
  <dimension ref="F1:H6"/>
  <sheetViews>
    <sheetView showGridLines="0" showRowColHeaders="0" topLeftCell="D1" workbookViewId="0">
      <selection activeCell="F1" sqref="F1"/>
    </sheetView>
  </sheetViews>
  <sheetFormatPr defaultRowHeight="14.5" x14ac:dyDescent="0.35"/>
  <cols>
    <col min="7" max="7" width="16" bestFit="1" customWidth="1"/>
  </cols>
  <sheetData>
    <row r="1" spans="6:8" ht="23.5" x14ac:dyDescent="0.55000000000000004">
      <c r="F1" s="11" t="s">
        <v>176</v>
      </c>
    </row>
    <row r="3" spans="6:8" ht="34.5" x14ac:dyDescent="0.8">
      <c r="G3" s="9">
        <f>GETPIVOTDATA("Age",'Overall Prevalence Pivot'!$A$3)</f>
        <v>270</v>
      </c>
      <c r="H3" t="s">
        <v>170</v>
      </c>
    </row>
    <row r="4" spans="6:8" ht="34.5" x14ac:dyDescent="0.8">
      <c r="G4" s="9">
        <f>GETPIVOTDATA("Age",'Overall Prevalence Pivot'!$A$3,"Heart Disease","Presence")</f>
        <v>120</v>
      </c>
      <c r="H4" t="s">
        <v>171</v>
      </c>
    </row>
    <row r="5" spans="6:8" ht="34.5" x14ac:dyDescent="0.8">
      <c r="G5" s="10">
        <f>GETPIVOTDATA("Age",'%patients with heart disease'!$A$3,"Heart Disease","Presence")</f>
        <v>0.44444444444444442</v>
      </c>
      <c r="H5" t="s">
        <v>172</v>
      </c>
    </row>
    <row r="6" spans="6:8" ht="34.5" x14ac:dyDescent="0.8">
      <c r="G6" s="10">
        <f>GETPIVOTDATA("Age",'%patients at risk pivot'!$A$3,"At-Risk Status","At Risk")</f>
        <v>0.97037037037037033</v>
      </c>
      <c r="H6" t="s">
        <v>173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ACAE0-C60F-4B69-8CF7-50B5D1ED44BD}">
  <dimension ref="A2:F6"/>
  <sheetViews>
    <sheetView workbookViewId="0">
      <selection activeCell="J4" sqref="J4"/>
    </sheetView>
  </sheetViews>
  <sheetFormatPr defaultRowHeight="14.5" x14ac:dyDescent="0.35"/>
  <cols>
    <col min="1" max="1" width="12.453125" bestFit="1" customWidth="1"/>
    <col min="2" max="2" width="15.6328125" bestFit="1" customWidth="1"/>
    <col min="3" max="3" width="13.81640625" bestFit="1" customWidth="1"/>
    <col min="4" max="4" width="15" bestFit="1" customWidth="1"/>
    <col min="5" max="5" width="13" bestFit="1" customWidth="1"/>
    <col min="6" max="6" width="10.36328125" bestFit="1" customWidth="1"/>
  </cols>
  <sheetData>
    <row r="2" spans="1:6" ht="18.5" x14ac:dyDescent="0.45">
      <c r="C2" s="3" t="s">
        <v>179</v>
      </c>
    </row>
    <row r="3" spans="1:6" x14ac:dyDescent="0.35">
      <c r="A3" s="4" t="s">
        <v>67</v>
      </c>
      <c r="B3" s="4" t="s">
        <v>77</v>
      </c>
    </row>
    <row r="4" spans="1:6" x14ac:dyDescent="0.35">
      <c r="A4" s="4" t="s">
        <v>59</v>
      </c>
      <c r="B4" t="s">
        <v>110</v>
      </c>
      <c r="C4" t="s">
        <v>111</v>
      </c>
      <c r="D4" t="s">
        <v>112</v>
      </c>
      <c r="E4" t="s">
        <v>113</v>
      </c>
      <c r="F4" t="s">
        <v>66</v>
      </c>
    </row>
    <row r="5" spans="1:6" x14ac:dyDescent="0.35">
      <c r="A5" s="5" t="s">
        <v>14</v>
      </c>
      <c r="B5">
        <v>91</v>
      </c>
      <c r="C5">
        <v>7</v>
      </c>
      <c r="D5">
        <v>17</v>
      </c>
      <c r="E5">
        <v>5</v>
      </c>
      <c r="F5">
        <v>120</v>
      </c>
    </row>
    <row r="6" spans="1:6" x14ac:dyDescent="0.35">
      <c r="A6" s="5" t="s">
        <v>66</v>
      </c>
      <c r="B6">
        <v>91</v>
      </c>
      <c r="C6">
        <v>7</v>
      </c>
      <c r="D6">
        <v>17</v>
      </c>
      <c r="E6">
        <v>5</v>
      </c>
      <c r="F6">
        <v>120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9265E-FCCC-4F79-B07A-39846861DE7D}">
  <dimension ref="A2:B6"/>
  <sheetViews>
    <sheetView workbookViewId="0">
      <selection activeCell="C17" sqref="C17"/>
    </sheetView>
  </sheetViews>
  <sheetFormatPr defaultRowHeight="14.5" x14ac:dyDescent="0.35"/>
  <cols>
    <col min="1" max="1" width="12.453125" bestFit="1" customWidth="1"/>
    <col min="2" max="2" width="11.26953125" bestFit="1" customWidth="1"/>
  </cols>
  <sheetData>
    <row r="2" spans="1:2" ht="18.5" x14ac:dyDescent="0.45">
      <c r="A2" s="3" t="s">
        <v>80</v>
      </c>
    </row>
    <row r="3" spans="1:2" x14ac:dyDescent="0.35">
      <c r="A3" s="4" t="s">
        <v>59</v>
      </c>
      <c r="B3" t="s">
        <v>67</v>
      </c>
    </row>
    <row r="4" spans="1:2" x14ac:dyDescent="0.35">
      <c r="A4" s="5" t="s">
        <v>15</v>
      </c>
      <c r="B4">
        <v>150</v>
      </c>
    </row>
    <row r="5" spans="1:2" x14ac:dyDescent="0.35">
      <c r="A5" s="5" t="s">
        <v>14</v>
      </c>
      <c r="B5">
        <v>120</v>
      </c>
    </row>
    <row r="6" spans="1:2" x14ac:dyDescent="0.35">
      <c r="A6" s="5" t="s">
        <v>66</v>
      </c>
      <c r="B6">
        <v>270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D37B5-6541-4DBA-BCC6-824C705A0330}">
  <dimension ref="A2:D11"/>
  <sheetViews>
    <sheetView workbookViewId="0">
      <selection activeCell="B7" sqref="B7"/>
    </sheetView>
  </sheetViews>
  <sheetFormatPr defaultRowHeight="14.5" x14ac:dyDescent="0.35"/>
  <cols>
    <col min="1" max="1" width="12.453125" bestFit="1" customWidth="1"/>
    <col min="2" max="2" width="15.6328125" bestFit="1" customWidth="1"/>
    <col min="3" max="3" width="8.54296875" bestFit="1" customWidth="1"/>
    <col min="4" max="4" width="10.36328125" bestFit="1" customWidth="1"/>
  </cols>
  <sheetData>
    <row r="2" spans="1:4" ht="18.5" x14ac:dyDescent="0.45">
      <c r="B2" s="3" t="s">
        <v>68</v>
      </c>
    </row>
    <row r="3" spans="1:4" x14ac:dyDescent="0.35">
      <c r="A3" s="4" t="s">
        <v>67</v>
      </c>
      <c r="B3" s="4" t="s">
        <v>77</v>
      </c>
    </row>
    <row r="4" spans="1:4" x14ac:dyDescent="0.35">
      <c r="A4" s="4" t="s">
        <v>59</v>
      </c>
      <c r="B4" t="s">
        <v>15</v>
      </c>
      <c r="C4" t="s">
        <v>14</v>
      </c>
      <c r="D4" t="s">
        <v>66</v>
      </c>
    </row>
    <row r="5" spans="1:4" x14ac:dyDescent="0.35">
      <c r="A5" s="5" t="s">
        <v>60</v>
      </c>
      <c r="B5">
        <v>8</v>
      </c>
      <c r="C5">
        <v>6</v>
      </c>
      <c r="D5">
        <v>14</v>
      </c>
    </row>
    <row r="6" spans="1:4" x14ac:dyDescent="0.35">
      <c r="A6" s="5" t="s">
        <v>61</v>
      </c>
      <c r="B6">
        <v>51</v>
      </c>
      <c r="C6">
        <v>20</v>
      </c>
      <c r="D6">
        <v>71</v>
      </c>
    </row>
    <row r="7" spans="1:4" x14ac:dyDescent="0.35">
      <c r="A7" s="5" t="s">
        <v>62</v>
      </c>
      <c r="B7">
        <v>57</v>
      </c>
      <c r="C7">
        <v>55</v>
      </c>
      <c r="D7">
        <v>112</v>
      </c>
    </row>
    <row r="8" spans="1:4" x14ac:dyDescent="0.35">
      <c r="A8" s="5" t="s">
        <v>63</v>
      </c>
      <c r="B8">
        <v>28</v>
      </c>
      <c r="C8">
        <v>38</v>
      </c>
      <c r="D8">
        <v>66</v>
      </c>
    </row>
    <row r="9" spans="1:4" x14ac:dyDescent="0.35">
      <c r="A9" s="5" t="s">
        <v>64</v>
      </c>
      <c r="B9">
        <v>5</v>
      </c>
      <c r="C9">
        <v>1</v>
      </c>
      <c r="D9">
        <v>6</v>
      </c>
    </row>
    <row r="10" spans="1:4" x14ac:dyDescent="0.35">
      <c r="A10" s="5" t="s">
        <v>65</v>
      </c>
      <c r="B10">
        <v>1</v>
      </c>
      <c r="D10">
        <v>1</v>
      </c>
    </row>
    <row r="11" spans="1:4" x14ac:dyDescent="0.35">
      <c r="A11" s="5" t="s">
        <v>66</v>
      </c>
      <c r="B11">
        <v>150</v>
      </c>
      <c r="C11">
        <v>120</v>
      </c>
      <c r="D11">
        <v>270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B962-F993-4065-B123-D293D7C3BEBA}">
  <dimension ref="A1:F7"/>
  <sheetViews>
    <sheetView workbookViewId="0">
      <selection activeCell="B18" sqref="B18"/>
    </sheetView>
  </sheetViews>
  <sheetFormatPr defaultRowHeight="14.5" x14ac:dyDescent="0.35"/>
  <cols>
    <col min="1" max="1" width="12.453125" bestFit="1" customWidth="1"/>
    <col min="2" max="2" width="31.453125" bestFit="1" customWidth="1"/>
    <col min="3" max="3" width="13.81640625" bestFit="1" customWidth="1"/>
    <col min="4" max="4" width="15" bestFit="1" customWidth="1"/>
    <col min="5" max="5" width="13" bestFit="1" customWidth="1"/>
    <col min="6" max="6" width="10.36328125" bestFit="1" customWidth="1"/>
  </cols>
  <sheetData>
    <row r="1" spans="1:6" x14ac:dyDescent="0.35">
      <c r="A1" s="4" t="s">
        <v>5</v>
      </c>
      <c r="B1" t="s">
        <v>177</v>
      </c>
    </row>
    <row r="2" spans="1:6" ht="18.5" x14ac:dyDescent="0.45">
      <c r="B2" s="3" t="s">
        <v>69</v>
      </c>
    </row>
    <row r="3" spans="1:6" x14ac:dyDescent="0.35">
      <c r="A3" s="4" t="s">
        <v>67</v>
      </c>
      <c r="B3" s="4" t="s">
        <v>77</v>
      </c>
    </row>
    <row r="4" spans="1:6" x14ac:dyDescent="0.35">
      <c r="A4" s="4" t="s">
        <v>59</v>
      </c>
      <c r="B4" t="s">
        <v>110</v>
      </c>
      <c r="C4" t="s">
        <v>111</v>
      </c>
      <c r="D4" t="s">
        <v>112</v>
      </c>
      <c r="E4" t="s">
        <v>113</v>
      </c>
      <c r="F4" t="s">
        <v>66</v>
      </c>
    </row>
    <row r="5" spans="1:6" x14ac:dyDescent="0.35">
      <c r="A5" s="5" t="s">
        <v>78</v>
      </c>
      <c r="B5">
        <v>35</v>
      </c>
      <c r="C5">
        <v>16</v>
      </c>
      <c r="D5">
        <v>32</v>
      </c>
      <c r="E5">
        <v>4</v>
      </c>
      <c r="F5">
        <v>87</v>
      </c>
    </row>
    <row r="6" spans="1:6" x14ac:dyDescent="0.35">
      <c r="A6" s="5" t="s">
        <v>79</v>
      </c>
      <c r="B6">
        <v>94</v>
      </c>
      <c r="C6">
        <v>26</v>
      </c>
      <c r="D6">
        <v>47</v>
      </c>
      <c r="E6">
        <v>16</v>
      </c>
      <c r="F6">
        <v>183</v>
      </c>
    </row>
    <row r="7" spans="1:6" x14ac:dyDescent="0.35">
      <c r="A7" s="5" t="s">
        <v>66</v>
      </c>
      <c r="B7">
        <v>129</v>
      </c>
      <c r="C7">
        <v>42</v>
      </c>
      <c r="D7">
        <v>79</v>
      </c>
      <c r="E7">
        <v>20</v>
      </c>
      <c r="F7">
        <v>270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0A532-1C11-46A1-89B7-069EB9F5A154}">
  <dimension ref="A2:B6"/>
  <sheetViews>
    <sheetView workbookViewId="0">
      <selection activeCell="C13" sqref="C13"/>
    </sheetView>
  </sheetViews>
  <sheetFormatPr defaultRowHeight="14.5" x14ac:dyDescent="0.35"/>
  <cols>
    <col min="1" max="1" width="12.453125" bestFit="1" customWidth="1"/>
    <col min="2" max="2" width="11.26953125" bestFit="1" customWidth="1"/>
  </cols>
  <sheetData>
    <row r="2" spans="1:2" ht="18.5" x14ac:dyDescent="0.45">
      <c r="B2" s="3" t="s">
        <v>83</v>
      </c>
    </row>
    <row r="3" spans="1:2" x14ac:dyDescent="0.35">
      <c r="A3" s="4" t="s">
        <v>59</v>
      </c>
      <c r="B3" t="s">
        <v>67</v>
      </c>
    </row>
    <row r="4" spans="1:2" x14ac:dyDescent="0.35">
      <c r="A4" s="5" t="s">
        <v>81</v>
      </c>
      <c r="B4">
        <v>262</v>
      </c>
    </row>
    <row r="5" spans="1:2" x14ac:dyDescent="0.35">
      <c r="A5" s="5" t="s">
        <v>82</v>
      </c>
      <c r="B5">
        <v>8</v>
      </c>
    </row>
    <row r="6" spans="1:2" x14ac:dyDescent="0.35">
      <c r="A6" s="5" t="s">
        <v>66</v>
      </c>
      <c r="B6">
        <v>270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B15B5-47D6-4C2E-B793-7EEED60D5FC2}">
  <dimension ref="A2:C9"/>
  <sheetViews>
    <sheetView workbookViewId="0">
      <selection activeCell="B7" sqref="B7"/>
    </sheetView>
  </sheetViews>
  <sheetFormatPr defaultRowHeight="14.5" x14ac:dyDescent="0.35"/>
  <cols>
    <col min="1" max="1" width="13.90625" bestFit="1" customWidth="1"/>
    <col min="2" max="2" width="15.6328125" bestFit="1" customWidth="1"/>
    <col min="3" max="4" width="10.36328125" bestFit="1" customWidth="1"/>
  </cols>
  <sheetData>
    <row r="2" spans="1:3" ht="18.5" x14ac:dyDescent="0.45">
      <c r="B2" s="3" t="s">
        <v>105</v>
      </c>
    </row>
    <row r="3" spans="1:3" x14ac:dyDescent="0.35">
      <c r="A3" s="4" t="s">
        <v>67</v>
      </c>
      <c r="B3" s="4" t="s">
        <v>77</v>
      </c>
    </row>
    <row r="4" spans="1:3" x14ac:dyDescent="0.35">
      <c r="A4" s="4" t="s">
        <v>59</v>
      </c>
      <c r="B4" t="s">
        <v>14</v>
      </c>
      <c r="C4" t="s">
        <v>66</v>
      </c>
    </row>
    <row r="5" spans="1:3" x14ac:dyDescent="0.35">
      <c r="A5" s="5" t="s">
        <v>100</v>
      </c>
      <c r="B5">
        <v>25</v>
      </c>
      <c r="C5">
        <v>25</v>
      </c>
    </row>
    <row r="6" spans="1:3" x14ac:dyDescent="0.35">
      <c r="A6" s="5" t="s">
        <v>96</v>
      </c>
      <c r="B6">
        <v>33</v>
      </c>
      <c r="C6">
        <v>33</v>
      </c>
    </row>
    <row r="7" spans="1:3" x14ac:dyDescent="0.35">
      <c r="A7" s="5" t="s">
        <v>98</v>
      </c>
      <c r="B7">
        <v>29</v>
      </c>
      <c r="C7">
        <v>29</v>
      </c>
    </row>
    <row r="8" spans="1:3" x14ac:dyDescent="0.35">
      <c r="A8" s="5" t="s">
        <v>102</v>
      </c>
      <c r="B8">
        <v>33</v>
      </c>
      <c r="C8">
        <v>33</v>
      </c>
    </row>
    <row r="9" spans="1:3" x14ac:dyDescent="0.35">
      <c r="A9" s="5" t="s">
        <v>66</v>
      </c>
      <c r="B9">
        <v>120</v>
      </c>
      <c r="C9">
        <v>120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094CC-1EB2-4FD4-9B8F-071B4F51B7E6}">
  <dimension ref="A1:C8"/>
  <sheetViews>
    <sheetView workbookViewId="0">
      <selection activeCell="A7" sqref="A7"/>
    </sheetView>
  </sheetViews>
  <sheetFormatPr defaultRowHeight="14.5" x14ac:dyDescent="0.35"/>
  <cols>
    <col min="1" max="1" width="15.7265625" bestFit="1" customWidth="1"/>
    <col min="2" max="2" width="16.1796875" bestFit="1" customWidth="1"/>
    <col min="3" max="4" width="10.36328125" bestFit="1" customWidth="1"/>
    <col min="5" max="5" width="7" bestFit="1" customWidth="1"/>
    <col min="6" max="6" width="4.81640625" bestFit="1" customWidth="1"/>
    <col min="7" max="7" width="6.26953125" bestFit="1" customWidth="1"/>
    <col min="8" max="8" width="10.36328125" bestFit="1" customWidth="1"/>
  </cols>
  <sheetData>
    <row r="1" spans="1:3" x14ac:dyDescent="0.35">
      <c r="A1" s="4" t="s">
        <v>92</v>
      </c>
      <c r="B1" t="s">
        <v>98</v>
      </c>
    </row>
    <row r="2" spans="1:3" x14ac:dyDescent="0.35">
      <c r="A2" s="4" t="s">
        <v>123</v>
      </c>
      <c r="B2" t="s">
        <v>100</v>
      </c>
    </row>
    <row r="4" spans="1:3" x14ac:dyDescent="0.35">
      <c r="A4" s="4" t="s">
        <v>67</v>
      </c>
      <c r="B4" s="4" t="s">
        <v>77</v>
      </c>
    </row>
    <row r="5" spans="1:3" x14ac:dyDescent="0.35">
      <c r="A5" s="4" t="s">
        <v>59</v>
      </c>
      <c r="B5" t="s">
        <v>79</v>
      </c>
      <c r="C5" t="s">
        <v>66</v>
      </c>
    </row>
    <row r="6" spans="1:3" x14ac:dyDescent="0.35">
      <c r="A6" s="5" t="s">
        <v>15</v>
      </c>
      <c r="B6">
        <v>6</v>
      </c>
      <c r="C6">
        <v>6</v>
      </c>
    </row>
    <row r="7" spans="1:3" x14ac:dyDescent="0.35">
      <c r="A7" s="5" t="s">
        <v>14</v>
      </c>
      <c r="B7">
        <v>7</v>
      </c>
      <c r="C7">
        <v>7</v>
      </c>
    </row>
    <row r="8" spans="1:3" x14ac:dyDescent="0.35">
      <c r="A8" s="5" t="s">
        <v>66</v>
      </c>
      <c r="B8">
        <v>13</v>
      </c>
      <c r="C8">
        <v>13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5E856-ED52-4E41-B4F9-A07939DE0CB0}">
  <dimension ref="A2:D7"/>
  <sheetViews>
    <sheetView workbookViewId="0">
      <selection activeCell="B18" sqref="B18"/>
    </sheetView>
  </sheetViews>
  <sheetFormatPr defaultRowHeight="14.5" x14ac:dyDescent="0.35"/>
  <cols>
    <col min="1" max="1" width="12.453125" bestFit="1" customWidth="1"/>
    <col min="2" max="2" width="15.6328125" bestFit="1" customWidth="1"/>
    <col min="3" max="3" width="6.90625" bestFit="1" customWidth="1"/>
    <col min="4" max="4" width="10.36328125" bestFit="1" customWidth="1"/>
  </cols>
  <sheetData>
    <row r="2" spans="1:4" ht="18.5" x14ac:dyDescent="0.45">
      <c r="B2" s="3" t="s">
        <v>150</v>
      </c>
    </row>
    <row r="3" spans="1:4" x14ac:dyDescent="0.35">
      <c r="A3" s="4" t="s">
        <v>67</v>
      </c>
      <c r="B3" s="4" t="s">
        <v>77</v>
      </c>
    </row>
    <row r="4" spans="1:4" x14ac:dyDescent="0.35">
      <c r="A4" s="4" t="s">
        <v>59</v>
      </c>
      <c r="B4" t="s">
        <v>149</v>
      </c>
      <c r="C4" t="s">
        <v>96</v>
      </c>
      <c r="D4" t="s">
        <v>66</v>
      </c>
    </row>
    <row r="5" spans="1:4" x14ac:dyDescent="0.35">
      <c r="A5" s="5" t="s">
        <v>15</v>
      </c>
      <c r="B5">
        <v>65</v>
      </c>
      <c r="C5">
        <v>85</v>
      </c>
      <c r="D5">
        <v>150</v>
      </c>
    </row>
    <row r="6" spans="1:4" x14ac:dyDescent="0.35">
      <c r="A6" s="5" t="s">
        <v>14</v>
      </c>
      <c r="B6">
        <v>74</v>
      </c>
      <c r="C6">
        <v>46</v>
      </c>
      <c r="D6">
        <v>120</v>
      </c>
    </row>
    <row r="7" spans="1:4" x14ac:dyDescent="0.35">
      <c r="A7" s="5" t="s">
        <v>66</v>
      </c>
      <c r="B7">
        <v>139</v>
      </c>
      <c r="C7">
        <v>131</v>
      </c>
      <c r="D7">
        <v>270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FF313-1DFD-4E70-B701-414E8EF20642}">
  <dimension ref="A2:C7"/>
  <sheetViews>
    <sheetView workbookViewId="0">
      <selection activeCell="C5" sqref="C5"/>
    </sheetView>
  </sheetViews>
  <sheetFormatPr defaultRowHeight="14.5" x14ac:dyDescent="0.35"/>
  <cols>
    <col min="1" max="1" width="12.453125" bestFit="1" customWidth="1"/>
    <col min="2" max="2" width="15.6328125" bestFit="1" customWidth="1"/>
    <col min="3" max="4" width="10.36328125" bestFit="1" customWidth="1"/>
  </cols>
  <sheetData>
    <row r="2" spans="1:3" ht="18.5" x14ac:dyDescent="0.45">
      <c r="B2" s="3" t="s">
        <v>155</v>
      </c>
    </row>
    <row r="3" spans="1:3" x14ac:dyDescent="0.35">
      <c r="A3" s="4" t="s">
        <v>67</v>
      </c>
      <c r="B3" s="4" t="s">
        <v>77</v>
      </c>
    </row>
    <row r="4" spans="1:3" x14ac:dyDescent="0.35">
      <c r="A4" s="4" t="s">
        <v>59</v>
      </c>
      <c r="B4" t="s">
        <v>14</v>
      </c>
      <c r="C4" t="s">
        <v>66</v>
      </c>
    </row>
    <row r="5" spans="1:3" x14ac:dyDescent="0.35">
      <c r="A5" s="5" t="s">
        <v>100</v>
      </c>
      <c r="B5">
        <v>75</v>
      </c>
      <c r="C5">
        <v>75</v>
      </c>
    </row>
    <row r="6" spans="1:3" x14ac:dyDescent="0.35">
      <c r="A6" s="5" t="s">
        <v>96</v>
      </c>
      <c r="B6">
        <v>45</v>
      </c>
      <c r="C6">
        <v>45</v>
      </c>
    </row>
    <row r="7" spans="1:3" x14ac:dyDescent="0.35">
      <c r="A7" s="5" t="s">
        <v>66</v>
      </c>
      <c r="B7">
        <v>120</v>
      </c>
      <c r="C7">
        <v>120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327F4-7FB5-490F-92A7-3F56F82C06DC}">
  <dimension ref="A2:C7"/>
  <sheetViews>
    <sheetView workbookViewId="0">
      <selection activeCell="M15" sqref="M15"/>
    </sheetView>
  </sheetViews>
  <sheetFormatPr defaultRowHeight="14.5" x14ac:dyDescent="0.35"/>
  <cols>
    <col min="1" max="1" width="12.453125" bestFit="1" customWidth="1"/>
    <col min="2" max="2" width="15.6328125" bestFit="1" customWidth="1"/>
    <col min="3" max="4" width="10.36328125" bestFit="1" customWidth="1"/>
  </cols>
  <sheetData>
    <row r="2" spans="1:3" ht="18.5" x14ac:dyDescent="0.45">
      <c r="B2" s="3" t="s">
        <v>161</v>
      </c>
    </row>
    <row r="3" spans="1:3" x14ac:dyDescent="0.35">
      <c r="A3" s="4" t="s">
        <v>67</v>
      </c>
      <c r="B3" s="4" t="s">
        <v>77</v>
      </c>
    </row>
    <row r="4" spans="1:3" x14ac:dyDescent="0.35">
      <c r="A4" s="4" t="s">
        <v>59</v>
      </c>
      <c r="B4" t="s">
        <v>14</v>
      </c>
      <c r="C4" t="s">
        <v>66</v>
      </c>
    </row>
    <row r="5" spans="1:3" x14ac:dyDescent="0.35">
      <c r="A5" s="5" t="s">
        <v>149</v>
      </c>
      <c r="B5">
        <v>66</v>
      </c>
      <c r="C5">
        <v>66</v>
      </c>
    </row>
    <row r="6" spans="1:3" x14ac:dyDescent="0.35">
      <c r="A6" s="5" t="s">
        <v>96</v>
      </c>
      <c r="B6">
        <v>54</v>
      </c>
      <c r="C6">
        <v>54</v>
      </c>
    </row>
    <row r="7" spans="1:3" x14ac:dyDescent="0.35">
      <c r="A7" s="5" t="s">
        <v>66</v>
      </c>
      <c r="B7">
        <v>120</v>
      </c>
      <c r="C7">
        <v>120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E4B6F-6348-4A0F-A725-6CA972D0B3CD}">
  <dimension ref="A2:B6"/>
  <sheetViews>
    <sheetView workbookViewId="0">
      <selection activeCell="E24" sqref="E23:E24"/>
    </sheetView>
  </sheetViews>
  <sheetFormatPr defaultRowHeight="14.5" x14ac:dyDescent="0.35"/>
  <cols>
    <col min="1" max="1" width="12.453125" bestFit="1" customWidth="1"/>
    <col min="2" max="2" width="11.26953125" bestFit="1" customWidth="1"/>
  </cols>
  <sheetData>
    <row r="2" spans="1:2" ht="16" x14ac:dyDescent="0.4">
      <c r="B2" s="2" t="s">
        <v>174</v>
      </c>
    </row>
    <row r="3" spans="1:2" x14ac:dyDescent="0.35">
      <c r="A3" s="4" t="s">
        <v>59</v>
      </c>
      <c r="B3" t="s">
        <v>67</v>
      </c>
    </row>
    <row r="4" spans="1:2" x14ac:dyDescent="0.35">
      <c r="A4" s="5" t="s">
        <v>81</v>
      </c>
      <c r="B4" s="8">
        <v>0.97037037037037033</v>
      </c>
    </row>
    <row r="5" spans="1:2" x14ac:dyDescent="0.35">
      <c r="A5" s="5" t="s">
        <v>82</v>
      </c>
      <c r="B5" s="8">
        <v>2.9629629629629631E-2</v>
      </c>
    </row>
    <row r="6" spans="1:2" x14ac:dyDescent="0.35">
      <c r="A6" s="5" t="s">
        <v>66</v>
      </c>
      <c r="B6" s="8">
        <v>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A602-F857-430F-A98B-F06B5B492D2D}">
  <dimension ref="A2:B6"/>
  <sheetViews>
    <sheetView workbookViewId="0">
      <selection activeCell="C12" sqref="C12"/>
    </sheetView>
  </sheetViews>
  <sheetFormatPr defaultRowHeight="14.5" x14ac:dyDescent="0.35"/>
  <cols>
    <col min="1" max="1" width="12.453125" bestFit="1" customWidth="1"/>
    <col min="2" max="2" width="11.26953125" bestFit="1" customWidth="1"/>
  </cols>
  <sheetData>
    <row r="2" spans="1:2" ht="18.5" x14ac:dyDescent="0.45">
      <c r="B2" s="3" t="s">
        <v>175</v>
      </c>
    </row>
    <row r="3" spans="1:2" x14ac:dyDescent="0.35">
      <c r="A3" s="4" t="s">
        <v>59</v>
      </c>
      <c r="B3" t="s">
        <v>67</v>
      </c>
    </row>
    <row r="4" spans="1:2" x14ac:dyDescent="0.35">
      <c r="A4" s="5" t="s">
        <v>15</v>
      </c>
      <c r="B4" s="8">
        <v>0.55555555555555558</v>
      </c>
    </row>
    <row r="5" spans="1:2" x14ac:dyDescent="0.35">
      <c r="A5" s="5" t="s">
        <v>14</v>
      </c>
      <c r="B5" s="8">
        <v>0.44444444444444442</v>
      </c>
    </row>
    <row r="6" spans="1:2" x14ac:dyDescent="0.35">
      <c r="A6" s="5" t="s">
        <v>66</v>
      </c>
      <c r="B6" s="8">
        <v>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2A45B-9BF4-44FB-9204-62C0C848F731}">
  <dimension ref="A2:D6"/>
  <sheetViews>
    <sheetView workbookViewId="0">
      <selection activeCell="L20" sqref="L20"/>
    </sheetView>
  </sheetViews>
  <sheetFormatPr defaultRowHeight="14.5" x14ac:dyDescent="0.35"/>
  <cols>
    <col min="1" max="1" width="12.453125" bestFit="1" customWidth="1"/>
    <col min="2" max="2" width="15.6328125" bestFit="1" customWidth="1"/>
    <col min="3" max="3" width="4.81640625" bestFit="1" customWidth="1"/>
    <col min="4" max="4" width="10.36328125" bestFit="1" customWidth="1"/>
  </cols>
  <sheetData>
    <row r="2" spans="1:4" ht="18.5" x14ac:dyDescent="0.45">
      <c r="B2" s="3" t="s">
        <v>178</v>
      </c>
    </row>
    <row r="3" spans="1:4" x14ac:dyDescent="0.35">
      <c r="A3" s="4" t="s">
        <v>67</v>
      </c>
      <c r="B3" s="4" t="s">
        <v>77</v>
      </c>
    </row>
    <row r="4" spans="1:4" x14ac:dyDescent="0.35">
      <c r="A4" s="4" t="s">
        <v>59</v>
      </c>
      <c r="B4" t="s">
        <v>78</v>
      </c>
      <c r="C4" t="s">
        <v>79</v>
      </c>
      <c r="D4" t="s">
        <v>66</v>
      </c>
    </row>
    <row r="5" spans="1:4" x14ac:dyDescent="0.35">
      <c r="A5" s="5" t="s">
        <v>14</v>
      </c>
      <c r="B5">
        <v>20</v>
      </c>
      <c r="C5">
        <v>100</v>
      </c>
      <c r="D5">
        <v>120</v>
      </c>
    </row>
    <row r="6" spans="1:4" x14ac:dyDescent="0.35">
      <c r="A6" s="5" t="s">
        <v>66</v>
      </c>
      <c r="B6">
        <v>20</v>
      </c>
      <c r="C6">
        <v>100</v>
      </c>
      <c r="D6">
        <v>120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0D80A-D729-4137-B51D-EFAC900BC30A}">
  <dimension ref="A1:W271"/>
  <sheetViews>
    <sheetView topLeftCell="A2" workbookViewId="0">
      <selection activeCell="E7" sqref="E7"/>
    </sheetView>
  </sheetViews>
  <sheetFormatPr defaultRowHeight="14.5" x14ac:dyDescent="0.35"/>
  <cols>
    <col min="2" max="2" width="11.08984375" customWidth="1"/>
    <col min="4" max="4" width="14.26953125" customWidth="1"/>
    <col min="5" max="6" width="16.90625" customWidth="1"/>
    <col min="8" max="8" width="14.36328125" customWidth="1"/>
    <col min="9" max="9" width="12.453125" customWidth="1"/>
    <col min="10" max="10" width="17.90625" customWidth="1"/>
    <col min="11" max="11" width="15.54296875" customWidth="1"/>
    <col min="12" max="12" width="13.26953125" customWidth="1"/>
    <col min="13" max="13" width="11.36328125" customWidth="1"/>
    <col min="14" max="14" width="16" customWidth="1"/>
    <col min="15" max="15" width="10.453125" customWidth="1"/>
    <col min="16" max="16" width="15.08984375" customWidth="1"/>
    <col min="17" max="17" width="17.453125" customWidth="1"/>
    <col min="18" max="18" width="14.453125" customWidth="1"/>
    <col min="19" max="19" width="12.26953125" customWidth="1"/>
    <col min="20" max="20" width="22.36328125" customWidth="1"/>
    <col min="21" max="21" width="10.1796875" customWidth="1"/>
    <col min="22" max="22" width="13.1796875" customWidth="1"/>
    <col min="23" max="23" width="15.1796875" customWidth="1"/>
    <col min="24" max="32" width="10.453125" customWidth="1"/>
    <col min="33" max="122" width="11.453125" customWidth="1"/>
    <col min="123" max="264" width="12.453125" customWidth="1"/>
  </cols>
  <sheetData>
    <row r="1" spans="1:23" x14ac:dyDescent="0.35">
      <c r="A1" s="1" t="s">
        <v>1</v>
      </c>
      <c r="B1" s="1" t="s">
        <v>39</v>
      </c>
      <c r="C1" s="1" t="s">
        <v>2</v>
      </c>
      <c r="D1" s="1" t="s">
        <v>73</v>
      </c>
      <c r="E1" s="1" t="s">
        <v>109</v>
      </c>
      <c r="F1" s="1" t="s">
        <v>122</v>
      </c>
      <c r="G1" s="1" t="s">
        <v>3</v>
      </c>
      <c r="H1" s="1" t="s">
        <v>92</v>
      </c>
      <c r="I1" s="1" t="s">
        <v>4</v>
      </c>
      <c r="J1" s="1" t="s">
        <v>124</v>
      </c>
      <c r="K1" s="1" t="s">
        <v>5</v>
      </c>
      <c r="L1" s="1" t="s">
        <v>123</v>
      </c>
      <c r="M1" s="1" t="s">
        <v>6</v>
      </c>
      <c r="N1" s="1" t="s">
        <v>125</v>
      </c>
      <c r="O1" s="1" t="s">
        <v>7</v>
      </c>
      <c r="P1" s="1" t="s">
        <v>8</v>
      </c>
      <c r="Q1" s="1" t="s">
        <v>126</v>
      </c>
      <c r="R1" s="1" t="s">
        <v>9</v>
      </c>
      <c r="S1" s="1" t="s">
        <v>10</v>
      </c>
      <c r="T1" s="1" t="s">
        <v>11</v>
      </c>
      <c r="U1" s="1" t="s">
        <v>12</v>
      </c>
      <c r="V1" s="1" t="s">
        <v>48</v>
      </c>
      <c r="W1" s="1" t="s">
        <v>13</v>
      </c>
    </row>
    <row r="2" spans="1:23" x14ac:dyDescent="0.35">
      <c r="A2" s="1">
        <v>70</v>
      </c>
      <c r="B2" s="1" t="str">
        <f t="shared" ref="B2:B65" si="0">IF(A2&lt;=30, "Under 30", IF(A2&lt;=40, "31-40", IF(A2&lt;=50, "41-50", IF(A2&lt;=60, "51-60", IF(A2&lt;=70, "61-70", IF(A2&lt;=80, "71-80", "Above 80"))))))</f>
        <v>61-70</v>
      </c>
      <c r="C2" s="1">
        <v>1</v>
      </c>
      <c r="D2" s="1" t="str">
        <f>IF(Table2[[#This Row],[Sex]]=1,"Male", "Female")</f>
        <v>Male</v>
      </c>
      <c r="E2" s="1">
        <v>4</v>
      </c>
      <c r="F2" s="1" t="str">
        <f>IF(Table2[[#This Row],[Chest pain level]]=1, "Typical Angina", IF(Table2[[#This Row],[Chest pain level]]=2, "Atypical Angina", IF(Table2[[#This Row],[Chest pain level]]=3, "Non Anginal Pain", IF(Table2[[#This Row],[Chest pain level]]=4, "Asymptomatic"))))</f>
        <v>Asymptomatic</v>
      </c>
      <c r="G2" s="1">
        <v>130</v>
      </c>
      <c r="H2" s="1" t="str">
        <f>IF(Table2[[#This Row],[BP]]&lt;=120, "Normal",  IF(Table2[[#This Row],[BP]]&lt;=130, "Slightly Elevated", IF(Table2[[#This Row],[BP]]&lt;=140, "High", "Very High")))</f>
        <v>Slightly Elevated</v>
      </c>
      <c r="I2" s="1">
        <v>322</v>
      </c>
      <c r="J2" s="1" t="str">
        <f>IF(Table2[[#This Row],[Cholesterol]]&gt;=240, "High", "Normal")</f>
        <v>High</v>
      </c>
      <c r="K2" s="1">
        <v>0</v>
      </c>
      <c r="L2" s="1" t="str">
        <f>IF(Table2[[#This Row],[FBS over 120]]=0, "Normal", "High")</f>
        <v>Normal</v>
      </c>
      <c r="M2" s="1">
        <v>2</v>
      </c>
      <c r="N2" s="1" t="str">
        <f>IF(Table2[[#This Row],[EKG results]]=0, "Normal", "Abnormal")</f>
        <v>Abnormal</v>
      </c>
      <c r="O2" s="1">
        <v>109</v>
      </c>
      <c r="P2" s="1">
        <v>0</v>
      </c>
      <c r="Q2" s="1" t="str">
        <f>IF(Table2[[#This Row],[Exercise angina]]=0, "Normal", "Abnormal")</f>
        <v>Normal</v>
      </c>
      <c r="R2" s="1">
        <v>2.4</v>
      </c>
      <c r="S2" s="1">
        <v>2</v>
      </c>
      <c r="T2" s="1">
        <v>3</v>
      </c>
      <c r="U2" s="1">
        <v>3</v>
      </c>
      <c r="V2"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 s="1" t="s">
        <v>14</v>
      </c>
    </row>
    <row r="3" spans="1:23" x14ac:dyDescent="0.35">
      <c r="A3" s="1">
        <v>67</v>
      </c>
      <c r="B3" s="1" t="str">
        <f t="shared" si="0"/>
        <v>61-70</v>
      </c>
      <c r="C3" s="1">
        <v>0</v>
      </c>
      <c r="D3" s="1" t="str">
        <f>IF(Table2[[#This Row],[Sex]]=1,"Male", "Female")</f>
        <v>Female</v>
      </c>
      <c r="E3" s="1">
        <v>3</v>
      </c>
      <c r="F3" s="1" t="str">
        <f>IF(Table2[[#This Row],[Chest pain level]]=1, "Typical Angina", IF(Table2[[#This Row],[Chest pain level]]=2, "Atypical Angina", IF(Table2[[#This Row],[Chest pain level]]=3, "Non Anginal Pain", IF(Table2[[#This Row],[Chest pain level]]=4, "Asymptomatic"))))</f>
        <v>Non Anginal Pain</v>
      </c>
      <c r="G3" s="1">
        <v>115</v>
      </c>
      <c r="H3" s="1" t="str">
        <f>IF(Table2[[#This Row],[BP]]&lt;=120, "Normal",  IF(Table2[[#This Row],[BP]]&lt;=130, "Slightly Elevated", IF(Table2[[#This Row],[BP]]&lt;=140, "High", "Very High")))</f>
        <v>Normal</v>
      </c>
      <c r="I3" s="1">
        <v>564</v>
      </c>
      <c r="J3" s="1" t="str">
        <f>IF(Table2[[#This Row],[Cholesterol]]&gt;=240, "High", "Normal")</f>
        <v>High</v>
      </c>
      <c r="K3" s="1">
        <v>0</v>
      </c>
      <c r="L3" s="1" t="str">
        <f>IF(Table2[[#This Row],[FBS over 120]]=0, "Normal", "High")</f>
        <v>Normal</v>
      </c>
      <c r="M3" s="1">
        <v>2</v>
      </c>
      <c r="N3" s="1" t="str">
        <f>IF(Table2[[#This Row],[EKG results]]=0, "Normal", "Abnormal")</f>
        <v>Abnormal</v>
      </c>
      <c r="O3" s="1">
        <v>160</v>
      </c>
      <c r="P3" s="1">
        <v>0</v>
      </c>
      <c r="Q3" s="1" t="str">
        <f>IF(Table2[[#This Row],[Exercise angina]]=0, "Normal", "Abnormal")</f>
        <v>Normal</v>
      </c>
      <c r="R3" s="1">
        <v>1.6</v>
      </c>
      <c r="S3" s="1">
        <v>2</v>
      </c>
      <c r="T3" s="1">
        <v>0</v>
      </c>
      <c r="U3" s="1">
        <v>7</v>
      </c>
      <c r="V3"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3" s="1" t="s">
        <v>15</v>
      </c>
    </row>
    <row r="4" spans="1:23" x14ac:dyDescent="0.35">
      <c r="A4" s="1">
        <v>57</v>
      </c>
      <c r="B4" s="1" t="str">
        <f t="shared" si="0"/>
        <v>51-60</v>
      </c>
      <c r="C4" s="1">
        <v>1</v>
      </c>
      <c r="D4" s="1" t="str">
        <f>IF(Table2[[#This Row],[Sex]]=1,"Male", "Female")</f>
        <v>Male</v>
      </c>
      <c r="E4" s="1">
        <v>2</v>
      </c>
      <c r="F4" s="1" t="str">
        <f>IF(Table2[[#This Row],[Chest pain level]]=1, "Typical Angina", IF(Table2[[#This Row],[Chest pain level]]=2, "Atypical Angina", IF(Table2[[#This Row],[Chest pain level]]=3, "Non Anginal Pain", IF(Table2[[#This Row],[Chest pain level]]=4, "Asymptomatic"))))</f>
        <v>Atypical Angina</v>
      </c>
      <c r="G4" s="1">
        <v>124</v>
      </c>
      <c r="H4" s="1" t="str">
        <f>IF(Table2[[#This Row],[BP]]&lt;=120, "Normal",  IF(Table2[[#This Row],[BP]]&lt;=130, "Slightly Elevated", IF(Table2[[#This Row],[BP]]&lt;=140, "High", "Very High")))</f>
        <v>Slightly Elevated</v>
      </c>
      <c r="I4" s="1">
        <v>261</v>
      </c>
      <c r="J4" s="1" t="str">
        <f>IF(Table2[[#This Row],[Cholesterol]]&gt;=240, "High", "Normal")</f>
        <v>High</v>
      </c>
      <c r="K4" s="1">
        <v>0</v>
      </c>
      <c r="L4" s="1" t="str">
        <f>IF(Table2[[#This Row],[FBS over 120]]=0, "Normal", "High")</f>
        <v>Normal</v>
      </c>
      <c r="M4" s="1">
        <v>0</v>
      </c>
      <c r="N4" s="1" t="str">
        <f>IF(Table2[[#This Row],[EKG results]]=0, "Normal", "Abnormal")</f>
        <v>Normal</v>
      </c>
      <c r="O4" s="1">
        <v>141</v>
      </c>
      <c r="P4" s="1">
        <v>0</v>
      </c>
      <c r="Q4" s="1" t="str">
        <f>IF(Table2[[#This Row],[Exercise angina]]=0, "Normal", "Abnormal")</f>
        <v>Normal</v>
      </c>
      <c r="R4" s="1">
        <v>0.3</v>
      </c>
      <c r="S4" s="1">
        <v>1</v>
      </c>
      <c r="T4" s="1">
        <v>0</v>
      </c>
      <c r="U4" s="1">
        <v>7</v>
      </c>
      <c r="V4"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4" s="1" t="s">
        <v>14</v>
      </c>
    </row>
    <row r="5" spans="1:23" x14ac:dyDescent="0.35">
      <c r="A5" s="1">
        <v>64</v>
      </c>
      <c r="B5" s="1" t="str">
        <f t="shared" si="0"/>
        <v>61-70</v>
      </c>
      <c r="C5" s="1">
        <v>1</v>
      </c>
      <c r="D5" s="1" t="str">
        <f>IF(Table2[[#This Row],[Sex]]=1,"Male", "Female")</f>
        <v>Male</v>
      </c>
      <c r="E5" s="1">
        <v>4</v>
      </c>
      <c r="F5" s="1" t="str">
        <f>IF(Table2[[#This Row],[Chest pain level]]=1, "Typical Angina", IF(Table2[[#This Row],[Chest pain level]]=2, "Atypical Angina", IF(Table2[[#This Row],[Chest pain level]]=3, "Non Anginal Pain", IF(Table2[[#This Row],[Chest pain level]]=4, "Asymptomatic"))))</f>
        <v>Asymptomatic</v>
      </c>
      <c r="G5" s="1">
        <v>128</v>
      </c>
      <c r="H5" s="1" t="str">
        <f>IF(Table2[[#This Row],[BP]]&lt;=120, "Normal",  IF(Table2[[#This Row],[BP]]&lt;=130, "Slightly Elevated", IF(Table2[[#This Row],[BP]]&lt;=140, "High", "Very High")))</f>
        <v>Slightly Elevated</v>
      </c>
      <c r="I5" s="1">
        <v>263</v>
      </c>
      <c r="J5" s="1" t="str">
        <f>IF(Table2[[#This Row],[Cholesterol]]&gt;=240, "High", "Normal")</f>
        <v>High</v>
      </c>
      <c r="K5" s="1">
        <v>0</v>
      </c>
      <c r="L5" s="1" t="str">
        <f>IF(Table2[[#This Row],[FBS over 120]]=0, "Normal", "High")</f>
        <v>Normal</v>
      </c>
      <c r="M5" s="1">
        <v>0</v>
      </c>
      <c r="N5" s="1" t="str">
        <f>IF(Table2[[#This Row],[EKG results]]=0, "Normal", "Abnormal")</f>
        <v>Normal</v>
      </c>
      <c r="O5" s="1">
        <v>105</v>
      </c>
      <c r="P5" s="1">
        <v>1</v>
      </c>
      <c r="Q5" s="1" t="str">
        <f>IF(Table2[[#This Row],[Exercise angina]]=0, "Normal", "Abnormal")</f>
        <v>Abnormal</v>
      </c>
      <c r="R5" s="1">
        <v>0.2</v>
      </c>
      <c r="S5" s="1">
        <v>2</v>
      </c>
      <c r="T5" s="1">
        <v>1</v>
      </c>
      <c r="U5" s="1">
        <v>7</v>
      </c>
      <c r="V5"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5" s="1" t="s">
        <v>15</v>
      </c>
    </row>
    <row r="6" spans="1:23" x14ac:dyDescent="0.35">
      <c r="A6" s="1">
        <v>74</v>
      </c>
      <c r="B6" s="1" t="str">
        <f t="shared" si="0"/>
        <v>71-80</v>
      </c>
      <c r="C6" s="1">
        <v>0</v>
      </c>
      <c r="D6" s="1" t="str">
        <f>IF(Table2[[#This Row],[Sex]]=1,"Male", "Female")</f>
        <v>Female</v>
      </c>
      <c r="E6" s="1">
        <v>2</v>
      </c>
      <c r="F6" s="1" t="str">
        <f>IF(Table2[[#This Row],[Chest pain level]]=1, "Typical Angina", IF(Table2[[#This Row],[Chest pain level]]=2, "Atypical Angina", IF(Table2[[#This Row],[Chest pain level]]=3, "Non Anginal Pain", IF(Table2[[#This Row],[Chest pain level]]=4, "Asymptomatic"))))</f>
        <v>Atypical Angina</v>
      </c>
      <c r="G6" s="1">
        <v>120</v>
      </c>
      <c r="H6" s="1" t="str">
        <f>IF(Table2[[#This Row],[BP]]&lt;=120, "Normal",  IF(Table2[[#This Row],[BP]]&lt;=130, "Slightly Elevated", IF(Table2[[#This Row],[BP]]&lt;=140, "High", "Very High")))</f>
        <v>Normal</v>
      </c>
      <c r="I6" s="1">
        <v>269</v>
      </c>
      <c r="J6" s="1" t="str">
        <f>IF(Table2[[#This Row],[Cholesterol]]&gt;=240, "High", "Normal")</f>
        <v>High</v>
      </c>
      <c r="K6" s="1">
        <v>0</v>
      </c>
      <c r="L6" s="1" t="str">
        <f>IF(Table2[[#This Row],[FBS over 120]]=0, "Normal", "High")</f>
        <v>Normal</v>
      </c>
      <c r="M6" s="1">
        <v>2</v>
      </c>
      <c r="N6" s="1" t="str">
        <f>IF(Table2[[#This Row],[EKG results]]=0, "Normal", "Abnormal")</f>
        <v>Abnormal</v>
      </c>
      <c r="O6" s="1">
        <v>121</v>
      </c>
      <c r="P6" s="1">
        <v>1</v>
      </c>
      <c r="Q6" s="1" t="str">
        <f>IF(Table2[[#This Row],[Exercise angina]]=0, "Normal", "Abnormal")</f>
        <v>Abnormal</v>
      </c>
      <c r="R6" s="1">
        <v>0.2</v>
      </c>
      <c r="S6" s="1">
        <v>1</v>
      </c>
      <c r="T6" s="1">
        <v>1</v>
      </c>
      <c r="U6" s="1">
        <v>3</v>
      </c>
      <c r="V6"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6" s="1" t="s">
        <v>15</v>
      </c>
    </row>
    <row r="7" spans="1:23" x14ac:dyDescent="0.35">
      <c r="A7" s="1">
        <v>65</v>
      </c>
      <c r="B7" s="1" t="str">
        <f t="shared" si="0"/>
        <v>61-70</v>
      </c>
      <c r="C7" s="1">
        <v>1</v>
      </c>
      <c r="D7" s="1" t="str">
        <f>IF(Table2[[#This Row],[Sex]]=1,"Male", "Female")</f>
        <v>Male</v>
      </c>
      <c r="E7" s="1">
        <v>4</v>
      </c>
      <c r="F7" s="1" t="str">
        <f>IF(Table2[[#This Row],[Chest pain level]]=1, "Typical Angina", IF(Table2[[#This Row],[Chest pain level]]=2, "Atypical Angina", IF(Table2[[#This Row],[Chest pain level]]=3, "Non Anginal Pain", IF(Table2[[#This Row],[Chest pain level]]=4, "Asymptomatic"))))</f>
        <v>Asymptomatic</v>
      </c>
      <c r="G7" s="1">
        <v>120</v>
      </c>
      <c r="H7" s="1" t="str">
        <f>IF(Table2[[#This Row],[BP]]&lt;=120, "Normal",  IF(Table2[[#This Row],[BP]]&lt;=130, "Slightly Elevated", IF(Table2[[#This Row],[BP]]&lt;=140, "High", "Very High")))</f>
        <v>Normal</v>
      </c>
      <c r="I7" s="1">
        <v>177</v>
      </c>
      <c r="J7" s="1" t="str">
        <f>IF(Table2[[#This Row],[Cholesterol]]&gt;=240, "High", "Normal")</f>
        <v>Normal</v>
      </c>
      <c r="K7" s="1">
        <v>0</v>
      </c>
      <c r="L7" s="1" t="str">
        <f>IF(Table2[[#This Row],[FBS over 120]]=0, "Normal", "High")</f>
        <v>Normal</v>
      </c>
      <c r="M7" s="1">
        <v>0</v>
      </c>
      <c r="N7" s="1" t="str">
        <f>IF(Table2[[#This Row],[EKG results]]=0, "Normal", "Abnormal")</f>
        <v>Normal</v>
      </c>
      <c r="O7" s="1">
        <v>140</v>
      </c>
      <c r="P7" s="1">
        <v>0</v>
      </c>
      <c r="Q7" s="1" t="str">
        <f>IF(Table2[[#This Row],[Exercise angina]]=0, "Normal", "Abnormal")</f>
        <v>Normal</v>
      </c>
      <c r="R7" s="1">
        <v>0.4</v>
      </c>
      <c r="S7" s="1">
        <v>1</v>
      </c>
      <c r="T7" s="1">
        <v>0</v>
      </c>
      <c r="U7" s="1">
        <v>7</v>
      </c>
      <c r="V7"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7" s="1" t="s">
        <v>15</v>
      </c>
    </row>
    <row r="8" spans="1:23" x14ac:dyDescent="0.35">
      <c r="A8" s="1">
        <v>56</v>
      </c>
      <c r="B8" s="1" t="str">
        <f t="shared" si="0"/>
        <v>51-60</v>
      </c>
      <c r="C8" s="1">
        <v>1</v>
      </c>
      <c r="D8" s="1" t="str">
        <f>IF(Table2[[#This Row],[Sex]]=1,"Male", "Female")</f>
        <v>Male</v>
      </c>
      <c r="E8" s="1">
        <v>3</v>
      </c>
      <c r="F8" s="1" t="str">
        <f>IF(Table2[[#This Row],[Chest pain level]]=1, "Typical Angina", IF(Table2[[#This Row],[Chest pain level]]=2, "Atypical Angina", IF(Table2[[#This Row],[Chest pain level]]=3, "Non Anginal Pain", IF(Table2[[#This Row],[Chest pain level]]=4, "Asymptomatic"))))</f>
        <v>Non Anginal Pain</v>
      </c>
      <c r="G8" s="1">
        <v>130</v>
      </c>
      <c r="H8" s="1" t="str">
        <f>IF(Table2[[#This Row],[BP]]&lt;=120, "Normal",  IF(Table2[[#This Row],[BP]]&lt;=130, "Slightly Elevated", IF(Table2[[#This Row],[BP]]&lt;=140, "High", "Very High")))</f>
        <v>Slightly Elevated</v>
      </c>
      <c r="I8" s="1">
        <v>256</v>
      </c>
      <c r="J8" s="1" t="str">
        <f>IF(Table2[[#This Row],[Cholesterol]]&gt;=240, "High", "Normal")</f>
        <v>High</v>
      </c>
      <c r="K8" s="1">
        <v>1</v>
      </c>
      <c r="L8" s="1" t="str">
        <f>IF(Table2[[#This Row],[FBS over 120]]=0, "Normal", "High")</f>
        <v>High</v>
      </c>
      <c r="M8" s="1">
        <v>2</v>
      </c>
      <c r="N8" s="1" t="str">
        <f>IF(Table2[[#This Row],[EKG results]]=0, "Normal", "Abnormal")</f>
        <v>Abnormal</v>
      </c>
      <c r="O8" s="1">
        <v>142</v>
      </c>
      <c r="P8" s="1">
        <v>1</v>
      </c>
      <c r="Q8" s="1" t="str">
        <f>IF(Table2[[#This Row],[Exercise angina]]=0, "Normal", "Abnormal")</f>
        <v>Abnormal</v>
      </c>
      <c r="R8" s="1">
        <v>0.6</v>
      </c>
      <c r="S8" s="1">
        <v>2</v>
      </c>
      <c r="T8" s="1">
        <v>1</v>
      </c>
      <c r="U8" s="1">
        <v>6</v>
      </c>
      <c r="V8"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8" s="1" t="s">
        <v>14</v>
      </c>
    </row>
    <row r="9" spans="1:23" x14ac:dyDescent="0.35">
      <c r="A9" s="1">
        <v>59</v>
      </c>
      <c r="B9" s="1" t="str">
        <f t="shared" si="0"/>
        <v>51-60</v>
      </c>
      <c r="C9" s="1">
        <v>1</v>
      </c>
      <c r="D9" s="1" t="str">
        <f>IF(Table2[[#This Row],[Sex]]=1,"Male", "Female")</f>
        <v>Male</v>
      </c>
      <c r="E9" s="1">
        <v>4</v>
      </c>
      <c r="F9" s="1" t="str">
        <f>IF(Table2[[#This Row],[Chest pain level]]=1, "Typical Angina", IF(Table2[[#This Row],[Chest pain level]]=2, "Atypical Angina", IF(Table2[[#This Row],[Chest pain level]]=3, "Non Anginal Pain", IF(Table2[[#This Row],[Chest pain level]]=4, "Asymptomatic"))))</f>
        <v>Asymptomatic</v>
      </c>
      <c r="G9" s="1">
        <v>110</v>
      </c>
      <c r="H9" s="1" t="str">
        <f>IF(Table2[[#This Row],[BP]]&lt;=120, "Normal",  IF(Table2[[#This Row],[BP]]&lt;=130, "Slightly Elevated", IF(Table2[[#This Row],[BP]]&lt;=140, "High", "Very High")))</f>
        <v>Normal</v>
      </c>
      <c r="I9" s="1">
        <v>239</v>
      </c>
      <c r="J9" s="1" t="str">
        <f>IF(Table2[[#This Row],[Cholesterol]]&gt;=240, "High", "Normal")</f>
        <v>Normal</v>
      </c>
      <c r="K9" s="1">
        <v>0</v>
      </c>
      <c r="L9" s="1" t="str">
        <f>IF(Table2[[#This Row],[FBS over 120]]=0, "Normal", "High")</f>
        <v>Normal</v>
      </c>
      <c r="M9" s="1">
        <v>2</v>
      </c>
      <c r="N9" s="1" t="str">
        <f>IF(Table2[[#This Row],[EKG results]]=0, "Normal", "Abnormal")</f>
        <v>Abnormal</v>
      </c>
      <c r="O9" s="1">
        <v>142</v>
      </c>
      <c r="P9" s="1">
        <v>1</v>
      </c>
      <c r="Q9" s="1" t="str">
        <f>IF(Table2[[#This Row],[Exercise angina]]=0, "Normal", "Abnormal")</f>
        <v>Abnormal</v>
      </c>
      <c r="R9" s="1">
        <v>1.2</v>
      </c>
      <c r="S9" s="1">
        <v>2</v>
      </c>
      <c r="T9" s="1">
        <v>1</v>
      </c>
      <c r="U9" s="1">
        <v>7</v>
      </c>
      <c r="V9"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9" s="1" t="s">
        <v>14</v>
      </c>
    </row>
    <row r="10" spans="1:23" x14ac:dyDescent="0.35">
      <c r="A10" s="1">
        <v>60</v>
      </c>
      <c r="B10" s="1" t="str">
        <f t="shared" si="0"/>
        <v>51-60</v>
      </c>
      <c r="C10" s="1">
        <v>1</v>
      </c>
      <c r="D10" s="1" t="str">
        <f>IF(Table2[[#This Row],[Sex]]=1,"Male", "Female")</f>
        <v>Male</v>
      </c>
      <c r="E10" s="1">
        <v>4</v>
      </c>
      <c r="F10" s="1" t="str">
        <f>IF(Table2[[#This Row],[Chest pain level]]=1, "Typical Angina", IF(Table2[[#This Row],[Chest pain level]]=2, "Atypical Angina", IF(Table2[[#This Row],[Chest pain level]]=3, "Non Anginal Pain", IF(Table2[[#This Row],[Chest pain level]]=4, "Asymptomatic"))))</f>
        <v>Asymptomatic</v>
      </c>
      <c r="G10" s="1">
        <v>140</v>
      </c>
      <c r="H10" s="1" t="str">
        <f>IF(Table2[[#This Row],[BP]]&lt;=120, "Normal",  IF(Table2[[#This Row],[BP]]&lt;=130, "Slightly Elevated", IF(Table2[[#This Row],[BP]]&lt;=140, "High", "Very High")))</f>
        <v>High</v>
      </c>
      <c r="I10" s="1">
        <v>293</v>
      </c>
      <c r="J10" s="1" t="str">
        <f>IF(Table2[[#This Row],[Cholesterol]]&gt;=240, "High", "Normal")</f>
        <v>High</v>
      </c>
      <c r="K10" s="1">
        <v>0</v>
      </c>
      <c r="L10" s="1" t="str">
        <f>IF(Table2[[#This Row],[FBS over 120]]=0, "Normal", "High")</f>
        <v>Normal</v>
      </c>
      <c r="M10" s="1">
        <v>2</v>
      </c>
      <c r="N10" s="1" t="str">
        <f>IF(Table2[[#This Row],[EKG results]]=0, "Normal", "Abnormal")</f>
        <v>Abnormal</v>
      </c>
      <c r="O10" s="1">
        <v>170</v>
      </c>
      <c r="P10" s="1">
        <v>0</v>
      </c>
      <c r="Q10" s="1" t="str">
        <f>IF(Table2[[#This Row],[Exercise angina]]=0, "Normal", "Abnormal")</f>
        <v>Normal</v>
      </c>
      <c r="R10" s="1">
        <v>1.2</v>
      </c>
      <c r="S10" s="1">
        <v>2</v>
      </c>
      <c r="T10" s="1">
        <v>2</v>
      </c>
      <c r="U10" s="1">
        <v>7</v>
      </c>
      <c r="V10"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0" s="1" t="s">
        <v>14</v>
      </c>
    </row>
    <row r="11" spans="1:23" x14ac:dyDescent="0.35">
      <c r="A11" s="1">
        <v>63</v>
      </c>
      <c r="B11" s="1" t="str">
        <f t="shared" si="0"/>
        <v>61-70</v>
      </c>
      <c r="C11" s="1">
        <v>0</v>
      </c>
      <c r="D11" s="1" t="str">
        <f>IF(Table2[[#This Row],[Sex]]=1,"Male", "Female")</f>
        <v>Female</v>
      </c>
      <c r="E11" s="1">
        <v>4</v>
      </c>
      <c r="F11" s="1" t="str">
        <f>IF(Table2[[#This Row],[Chest pain level]]=1, "Typical Angina", IF(Table2[[#This Row],[Chest pain level]]=2, "Atypical Angina", IF(Table2[[#This Row],[Chest pain level]]=3, "Non Anginal Pain", IF(Table2[[#This Row],[Chest pain level]]=4, "Asymptomatic"))))</f>
        <v>Asymptomatic</v>
      </c>
      <c r="G11" s="1">
        <v>150</v>
      </c>
      <c r="H11" s="1" t="str">
        <f>IF(Table2[[#This Row],[BP]]&lt;=120, "Normal",  IF(Table2[[#This Row],[BP]]&lt;=130, "Slightly Elevated", IF(Table2[[#This Row],[BP]]&lt;=140, "High", "Very High")))</f>
        <v>Very High</v>
      </c>
      <c r="I11" s="1">
        <v>407</v>
      </c>
      <c r="J11" s="1" t="str">
        <f>IF(Table2[[#This Row],[Cholesterol]]&gt;=240, "High", "Normal")</f>
        <v>High</v>
      </c>
      <c r="K11" s="1">
        <v>0</v>
      </c>
      <c r="L11" s="1" t="str">
        <f>IF(Table2[[#This Row],[FBS over 120]]=0, "Normal", "High")</f>
        <v>Normal</v>
      </c>
      <c r="M11" s="1">
        <v>2</v>
      </c>
      <c r="N11" s="1" t="str">
        <f>IF(Table2[[#This Row],[EKG results]]=0, "Normal", "Abnormal")</f>
        <v>Abnormal</v>
      </c>
      <c r="O11" s="1">
        <v>154</v>
      </c>
      <c r="P11" s="1">
        <v>0</v>
      </c>
      <c r="Q11" s="1" t="str">
        <f>IF(Table2[[#This Row],[Exercise angina]]=0, "Normal", "Abnormal")</f>
        <v>Normal</v>
      </c>
      <c r="R11" s="1">
        <v>4</v>
      </c>
      <c r="S11" s="1">
        <v>2</v>
      </c>
      <c r="T11" s="1">
        <v>3</v>
      </c>
      <c r="U11" s="1">
        <v>7</v>
      </c>
      <c r="V11"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1" s="1" t="s">
        <v>14</v>
      </c>
    </row>
    <row r="12" spans="1:23" x14ac:dyDescent="0.35">
      <c r="A12" s="1">
        <v>59</v>
      </c>
      <c r="B12" s="1" t="str">
        <f t="shared" si="0"/>
        <v>51-60</v>
      </c>
      <c r="C12" s="1">
        <v>1</v>
      </c>
      <c r="D12" s="1" t="str">
        <f>IF(Table2[[#This Row],[Sex]]=1,"Male", "Female")</f>
        <v>Male</v>
      </c>
      <c r="E12" s="1">
        <v>4</v>
      </c>
      <c r="F12" s="1" t="str">
        <f>IF(Table2[[#This Row],[Chest pain level]]=1, "Typical Angina", IF(Table2[[#This Row],[Chest pain level]]=2, "Atypical Angina", IF(Table2[[#This Row],[Chest pain level]]=3, "Non Anginal Pain", IF(Table2[[#This Row],[Chest pain level]]=4, "Asymptomatic"))))</f>
        <v>Asymptomatic</v>
      </c>
      <c r="G12" s="1">
        <v>135</v>
      </c>
      <c r="H12" s="1" t="str">
        <f>IF(Table2[[#This Row],[BP]]&lt;=120, "Normal",  IF(Table2[[#This Row],[BP]]&lt;=130, "Slightly Elevated", IF(Table2[[#This Row],[BP]]&lt;=140, "High", "Very High")))</f>
        <v>High</v>
      </c>
      <c r="I12" s="1">
        <v>234</v>
      </c>
      <c r="J12" s="1" t="str">
        <f>IF(Table2[[#This Row],[Cholesterol]]&gt;=240, "High", "Normal")</f>
        <v>Normal</v>
      </c>
      <c r="K12" s="1">
        <v>0</v>
      </c>
      <c r="L12" s="1" t="str">
        <f>IF(Table2[[#This Row],[FBS over 120]]=0, "Normal", "High")</f>
        <v>Normal</v>
      </c>
      <c r="M12" s="1">
        <v>0</v>
      </c>
      <c r="N12" s="1" t="str">
        <f>IF(Table2[[#This Row],[EKG results]]=0, "Normal", "Abnormal")</f>
        <v>Normal</v>
      </c>
      <c r="O12" s="1">
        <v>161</v>
      </c>
      <c r="P12" s="1">
        <v>0</v>
      </c>
      <c r="Q12" s="1" t="str">
        <f>IF(Table2[[#This Row],[Exercise angina]]=0, "Normal", "Abnormal")</f>
        <v>Normal</v>
      </c>
      <c r="R12" s="1">
        <v>0.5</v>
      </c>
      <c r="S12" s="1">
        <v>2</v>
      </c>
      <c r="T12" s="1">
        <v>0</v>
      </c>
      <c r="U12" s="1">
        <v>7</v>
      </c>
      <c r="V12"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2" s="1" t="s">
        <v>15</v>
      </c>
    </row>
    <row r="13" spans="1:23" x14ac:dyDescent="0.35">
      <c r="A13" s="1">
        <v>53</v>
      </c>
      <c r="B13" s="1" t="str">
        <f t="shared" si="0"/>
        <v>51-60</v>
      </c>
      <c r="C13" s="1">
        <v>1</v>
      </c>
      <c r="D13" s="1" t="str">
        <f>IF(Table2[[#This Row],[Sex]]=1,"Male", "Female")</f>
        <v>Male</v>
      </c>
      <c r="E13" s="1">
        <v>4</v>
      </c>
      <c r="F13" s="1" t="str">
        <f>IF(Table2[[#This Row],[Chest pain level]]=1, "Typical Angina", IF(Table2[[#This Row],[Chest pain level]]=2, "Atypical Angina", IF(Table2[[#This Row],[Chest pain level]]=3, "Non Anginal Pain", IF(Table2[[#This Row],[Chest pain level]]=4, "Asymptomatic"))))</f>
        <v>Asymptomatic</v>
      </c>
      <c r="G13" s="1">
        <v>142</v>
      </c>
      <c r="H13" s="1" t="str">
        <f>IF(Table2[[#This Row],[BP]]&lt;=120, "Normal",  IF(Table2[[#This Row],[BP]]&lt;=130, "Slightly Elevated", IF(Table2[[#This Row],[BP]]&lt;=140, "High", "Very High")))</f>
        <v>Very High</v>
      </c>
      <c r="I13" s="1">
        <v>226</v>
      </c>
      <c r="J13" s="1" t="str">
        <f>IF(Table2[[#This Row],[Cholesterol]]&gt;=240, "High", "Normal")</f>
        <v>Normal</v>
      </c>
      <c r="K13" s="1">
        <v>0</v>
      </c>
      <c r="L13" s="1" t="str">
        <f>IF(Table2[[#This Row],[FBS over 120]]=0, "Normal", "High")</f>
        <v>Normal</v>
      </c>
      <c r="M13" s="1">
        <v>2</v>
      </c>
      <c r="N13" s="1" t="str">
        <f>IF(Table2[[#This Row],[EKG results]]=0, "Normal", "Abnormal")</f>
        <v>Abnormal</v>
      </c>
      <c r="O13" s="1">
        <v>111</v>
      </c>
      <c r="P13" s="1">
        <v>1</v>
      </c>
      <c r="Q13" s="1" t="str">
        <f>IF(Table2[[#This Row],[Exercise angina]]=0, "Normal", "Abnormal")</f>
        <v>Abnormal</v>
      </c>
      <c r="R13" s="1">
        <v>0</v>
      </c>
      <c r="S13" s="1">
        <v>1</v>
      </c>
      <c r="T13" s="1">
        <v>0</v>
      </c>
      <c r="U13" s="1">
        <v>7</v>
      </c>
      <c r="V13"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3" s="1" t="s">
        <v>15</v>
      </c>
    </row>
    <row r="14" spans="1:23" x14ac:dyDescent="0.35">
      <c r="A14" s="1">
        <v>44</v>
      </c>
      <c r="B14" s="1" t="str">
        <f t="shared" si="0"/>
        <v>41-50</v>
      </c>
      <c r="C14" s="1">
        <v>1</v>
      </c>
      <c r="D14" s="1" t="str">
        <f>IF(Table2[[#This Row],[Sex]]=1,"Male", "Female")</f>
        <v>Male</v>
      </c>
      <c r="E14" s="1">
        <v>3</v>
      </c>
      <c r="F14" s="1" t="str">
        <f>IF(Table2[[#This Row],[Chest pain level]]=1, "Typical Angina", IF(Table2[[#This Row],[Chest pain level]]=2, "Atypical Angina", IF(Table2[[#This Row],[Chest pain level]]=3, "Non Anginal Pain", IF(Table2[[#This Row],[Chest pain level]]=4, "Asymptomatic"))))</f>
        <v>Non Anginal Pain</v>
      </c>
      <c r="G14" s="1">
        <v>140</v>
      </c>
      <c r="H14" s="1" t="str">
        <f>IF(Table2[[#This Row],[BP]]&lt;=120, "Normal",  IF(Table2[[#This Row],[BP]]&lt;=130, "Slightly Elevated", IF(Table2[[#This Row],[BP]]&lt;=140, "High", "Very High")))</f>
        <v>High</v>
      </c>
      <c r="I14" s="1">
        <v>235</v>
      </c>
      <c r="J14" s="1" t="str">
        <f>IF(Table2[[#This Row],[Cholesterol]]&gt;=240, "High", "Normal")</f>
        <v>Normal</v>
      </c>
      <c r="K14" s="1">
        <v>0</v>
      </c>
      <c r="L14" s="1" t="str">
        <f>IF(Table2[[#This Row],[FBS over 120]]=0, "Normal", "High")</f>
        <v>Normal</v>
      </c>
      <c r="M14" s="1">
        <v>2</v>
      </c>
      <c r="N14" s="1" t="str">
        <f>IF(Table2[[#This Row],[EKG results]]=0, "Normal", "Abnormal")</f>
        <v>Abnormal</v>
      </c>
      <c r="O14" s="1">
        <v>180</v>
      </c>
      <c r="P14" s="1">
        <v>0</v>
      </c>
      <c r="Q14" s="1" t="str">
        <f>IF(Table2[[#This Row],[Exercise angina]]=0, "Normal", "Abnormal")</f>
        <v>Normal</v>
      </c>
      <c r="R14" s="1">
        <v>0</v>
      </c>
      <c r="S14" s="1">
        <v>1</v>
      </c>
      <c r="T14" s="1">
        <v>0</v>
      </c>
      <c r="U14" s="1">
        <v>3</v>
      </c>
      <c r="V14"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4" s="1" t="s">
        <v>15</v>
      </c>
    </row>
    <row r="15" spans="1:23" x14ac:dyDescent="0.35">
      <c r="A15" s="1">
        <v>61</v>
      </c>
      <c r="B15" s="1" t="str">
        <f t="shared" si="0"/>
        <v>61-70</v>
      </c>
      <c r="C15" s="1">
        <v>1</v>
      </c>
      <c r="D15" s="1" t="str">
        <f>IF(Table2[[#This Row],[Sex]]=1,"Male", "Female")</f>
        <v>Male</v>
      </c>
      <c r="E15" s="1">
        <v>1</v>
      </c>
      <c r="F15" s="1" t="str">
        <f>IF(Table2[[#This Row],[Chest pain level]]=1, "Typical Angina", IF(Table2[[#This Row],[Chest pain level]]=2, "Atypical Angina", IF(Table2[[#This Row],[Chest pain level]]=3, "Non Anginal Pain", IF(Table2[[#This Row],[Chest pain level]]=4, "Asymptomatic"))))</f>
        <v>Typical Angina</v>
      </c>
      <c r="G15" s="1">
        <v>134</v>
      </c>
      <c r="H15" s="1" t="str">
        <f>IF(Table2[[#This Row],[BP]]&lt;=120, "Normal",  IF(Table2[[#This Row],[BP]]&lt;=130, "Slightly Elevated", IF(Table2[[#This Row],[BP]]&lt;=140, "High", "Very High")))</f>
        <v>High</v>
      </c>
      <c r="I15" s="1">
        <v>234</v>
      </c>
      <c r="J15" s="1" t="str">
        <f>IF(Table2[[#This Row],[Cholesterol]]&gt;=240, "High", "Normal")</f>
        <v>Normal</v>
      </c>
      <c r="K15" s="1">
        <v>0</v>
      </c>
      <c r="L15" s="1" t="str">
        <f>IF(Table2[[#This Row],[FBS over 120]]=0, "Normal", "High")</f>
        <v>Normal</v>
      </c>
      <c r="M15" s="1">
        <v>0</v>
      </c>
      <c r="N15" s="1" t="str">
        <f>IF(Table2[[#This Row],[EKG results]]=0, "Normal", "Abnormal")</f>
        <v>Normal</v>
      </c>
      <c r="O15" s="1">
        <v>145</v>
      </c>
      <c r="P15" s="1">
        <v>0</v>
      </c>
      <c r="Q15" s="1" t="str">
        <f>IF(Table2[[#This Row],[Exercise angina]]=0, "Normal", "Abnormal")</f>
        <v>Normal</v>
      </c>
      <c r="R15" s="1">
        <v>2.6</v>
      </c>
      <c r="S15" s="1">
        <v>2</v>
      </c>
      <c r="T15" s="1">
        <v>2</v>
      </c>
      <c r="U15" s="1">
        <v>3</v>
      </c>
      <c r="V15"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5" s="1" t="s">
        <v>14</v>
      </c>
    </row>
    <row r="16" spans="1:23" x14ac:dyDescent="0.35">
      <c r="A16" s="1">
        <v>57</v>
      </c>
      <c r="B16" s="1" t="str">
        <f t="shared" si="0"/>
        <v>51-60</v>
      </c>
      <c r="C16" s="1">
        <v>0</v>
      </c>
      <c r="D16" s="1" t="str">
        <f>IF(Table2[[#This Row],[Sex]]=1,"Male", "Female")</f>
        <v>Female</v>
      </c>
      <c r="E16" s="1">
        <v>4</v>
      </c>
      <c r="F16" s="1" t="str">
        <f>IF(Table2[[#This Row],[Chest pain level]]=1, "Typical Angina", IF(Table2[[#This Row],[Chest pain level]]=2, "Atypical Angina", IF(Table2[[#This Row],[Chest pain level]]=3, "Non Anginal Pain", IF(Table2[[#This Row],[Chest pain level]]=4, "Asymptomatic"))))</f>
        <v>Asymptomatic</v>
      </c>
      <c r="G16" s="1">
        <v>128</v>
      </c>
      <c r="H16" s="1" t="str">
        <f>IF(Table2[[#This Row],[BP]]&lt;=120, "Normal",  IF(Table2[[#This Row],[BP]]&lt;=130, "Slightly Elevated", IF(Table2[[#This Row],[BP]]&lt;=140, "High", "Very High")))</f>
        <v>Slightly Elevated</v>
      </c>
      <c r="I16" s="1">
        <v>303</v>
      </c>
      <c r="J16" s="1" t="str">
        <f>IF(Table2[[#This Row],[Cholesterol]]&gt;=240, "High", "Normal")</f>
        <v>High</v>
      </c>
      <c r="K16" s="1">
        <v>0</v>
      </c>
      <c r="L16" s="1" t="str">
        <f>IF(Table2[[#This Row],[FBS over 120]]=0, "Normal", "High")</f>
        <v>Normal</v>
      </c>
      <c r="M16" s="1">
        <v>2</v>
      </c>
      <c r="N16" s="1" t="str">
        <f>IF(Table2[[#This Row],[EKG results]]=0, "Normal", "Abnormal")</f>
        <v>Abnormal</v>
      </c>
      <c r="O16" s="1">
        <v>159</v>
      </c>
      <c r="P16" s="1">
        <v>0</v>
      </c>
      <c r="Q16" s="1" t="str">
        <f>IF(Table2[[#This Row],[Exercise angina]]=0, "Normal", "Abnormal")</f>
        <v>Normal</v>
      </c>
      <c r="R16" s="1">
        <v>0</v>
      </c>
      <c r="S16" s="1">
        <v>1</v>
      </c>
      <c r="T16" s="1">
        <v>1</v>
      </c>
      <c r="U16" s="1">
        <v>3</v>
      </c>
      <c r="V16"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6" s="1" t="s">
        <v>15</v>
      </c>
    </row>
    <row r="17" spans="1:23" x14ac:dyDescent="0.35">
      <c r="A17" s="1">
        <v>71</v>
      </c>
      <c r="B17" s="1" t="str">
        <f t="shared" si="0"/>
        <v>71-80</v>
      </c>
      <c r="C17" s="1">
        <v>0</v>
      </c>
      <c r="D17" s="1" t="str">
        <f>IF(Table2[[#This Row],[Sex]]=1,"Male", "Female")</f>
        <v>Female</v>
      </c>
      <c r="E17" s="1">
        <v>4</v>
      </c>
      <c r="F17" s="1" t="str">
        <f>IF(Table2[[#This Row],[Chest pain level]]=1, "Typical Angina", IF(Table2[[#This Row],[Chest pain level]]=2, "Atypical Angina", IF(Table2[[#This Row],[Chest pain level]]=3, "Non Anginal Pain", IF(Table2[[#This Row],[Chest pain level]]=4, "Asymptomatic"))))</f>
        <v>Asymptomatic</v>
      </c>
      <c r="G17" s="1">
        <v>112</v>
      </c>
      <c r="H17" s="1" t="str">
        <f>IF(Table2[[#This Row],[BP]]&lt;=120, "Normal",  IF(Table2[[#This Row],[BP]]&lt;=130, "Slightly Elevated", IF(Table2[[#This Row],[BP]]&lt;=140, "High", "Very High")))</f>
        <v>Normal</v>
      </c>
      <c r="I17" s="1">
        <v>149</v>
      </c>
      <c r="J17" s="1" t="str">
        <f>IF(Table2[[#This Row],[Cholesterol]]&gt;=240, "High", "Normal")</f>
        <v>Normal</v>
      </c>
      <c r="K17" s="1">
        <v>0</v>
      </c>
      <c r="L17" s="1" t="str">
        <f>IF(Table2[[#This Row],[FBS over 120]]=0, "Normal", "High")</f>
        <v>Normal</v>
      </c>
      <c r="M17" s="1">
        <v>0</v>
      </c>
      <c r="N17" s="1" t="str">
        <f>IF(Table2[[#This Row],[EKG results]]=0, "Normal", "Abnormal")</f>
        <v>Normal</v>
      </c>
      <c r="O17" s="1">
        <v>125</v>
      </c>
      <c r="P17" s="1">
        <v>0</v>
      </c>
      <c r="Q17" s="1" t="str">
        <f>IF(Table2[[#This Row],[Exercise angina]]=0, "Normal", "Abnormal")</f>
        <v>Normal</v>
      </c>
      <c r="R17" s="1">
        <v>1.6</v>
      </c>
      <c r="S17" s="1">
        <v>2</v>
      </c>
      <c r="T17" s="1">
        <v>0</v>
      </c>
      <c r="U17" s="1">
        <v>3</v>
      </c>
      <c r="V17"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7" s="1" t="s">
        <v>15</v>
      </c>
    </row>
    <row r="18" spans="1:23" x14ac:dyDescent="0.35">
      <c r="A18" s="1">
        <v>46</v>
      </c>
      <c r="B18" s="1" t="str">
        <f t="shared" si="0"/>
        <v>41-50</v>
      </c>
      <c r="C18" s="1">
        <v>1</v>
      </c>
      <c r="D18" s="1" t="str">
        <f>IF(Table2[[#This Row],[Sex]]=1,"Male", "Female")</f>
        <v>Male</v>
      </c>
      <c r="E18" s="1">
        <v>4</v>
      </c>
      <c r="F18" s="1" t="str">
        <f>IF(Table2[[#This Row],[Chest pain level]]=1, "Typical Angina", IF(Table2[[#This Row],[Chest pain level]]=2, "Atypical Angina", IF(Table2[[#This Row],[Chest pain level]]=3, "Non Anginal Pain", IF(Table2[[#This Row],[Chest pain level]]=4, "Asymptomatic"))))</f>
        <v>Asymptomatic</v>
      </c>
      <c r="G18" s="1">
        <v>140</v>
      </c>
      <c r="H18" s="1" t="str">
        <f>IF(Table2[[#This Row],[BP]]&lt;=120, "Normal",  IF(Table2[[#This Row],[BP]]&lt;=130, "Slightly Elevated", IF(Table2[[#This Row],[BP]]&lt;=140, "High", "Very High")))</f>
        <v>High</v>
      </c>
      <c r="I18" s="1">
        <v>311</v>
      </c>
      <c r="J18" s="1" t="str">
        <f>IF(Table2[[#This Row],[Cholesterol]]&gt;=240, "High", "Normal")</f>
        <v>High</v>
      </c>
      <c r="K18" s="1">
        <v>0</v>
      </c>
      <c r="L18" s="1" t="str">
        <f>IF(Table2[[#This Row],[FBS over 120]]=0, "Normal", "High")</f>
        <v>Normal</v>
      </c>
      <c r="M18" s="1">
        <v>0</v>
      </c>
      <c r="N18" s="1" t="str">
        <f>IF(Table2[[#This Row],[EKG results]]=0, "Normal", "Abnormal")</f>
        <v>Normal</v>
      </c>
      <c r="O18" s="1">
        <v>120</v>
      </c>
      <c r="P18" s="1">
        <v>1</v>
      </c>
      <c r="Q18" s="1" t="str">
        <f>IF(Table2[[#This Row],[Exercise angina]]=0, "Normal", "Abnormal")</f>
        <v>Abnormal</v>
      </c>
      <c r="R18" s="1">
        <v>1.8</v>
      </c>
      <c r="S18" s="1">
        <v>2</v>
      </c>
      <c r="T18" s="1">
        <v>2</v>
      </c>
      <c r="U18" s="1">
        <v>7</v>
      </c>
      <c r="V18"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8" s="1" t="s">
        <v>14</v>
      </c>
    </row>
    <row r="19" spans="1:23" x14ac:dyDescent="0.35">
      <c r="A19" s="1">
        <v>53</v>
      </c>
      <c r="B19" s="1" t="str">
        <f t="shared" si="0"/>
        <v>51-60</v>
      </c>
      <c r="C19" s="1">
        <v>1</v>
      </c>
      <c r="D19" s="1" t="str">
        <f>IF(Table2[[#This Row],[Sex]]=1,"Male", "Female")</f>
        <v>Male</v>
      </c>
      <c r="E19" s="1">
        <v>4</v>
      </c>
      <c r="F19" s="1" t="str">
        <f>IF(Table2[[#This Row],[Chest pain level]]=1, "Typical Angina", IF(Table2[[#This Row],[Chest pain level]]=2, "Atypical Angina", IF(Table2[[#This Row],[Chest pain level]]=3, "Non Anginal Pain", IF(Table2[[#This Row],[Chest pain level]]=4, "Asymptomatic"))))</f>
        <v>Asymptomatic</v>
      </c>
      <c r="G19" s="1">
        <v>140</v>
      </c>
      <c r="H19" s="1" t="str">
        <f>IF(Table2[[#This Row],[BP]]&lt;=120, "Normal",  IF(Table2[[#This Row],[BP]]&lt;=130, "Slightly Elevated", IF(Table2[[#This Row],[BP]]&lt;=140, "High", "Very High")))</f>
        <v>High</v>
      </c>
      <c r="I19" s="1">
        <v>203</v>
      </c>
      <c r="J19" s="1" t="str">
        <f>IF(Table2[[#This Row],[Cholesterol]]&gt;=240, "High", "Normal")</f>
        <v>Normal</v>
      </c>
      <c r="K19" s="1">
        <v>1</v>
      </c>
      <c r="L19" s="1" t="str">
        <f>IF(Table2[[#This Row],[FBS over 120]]=0, "Normal", "High")</f>
        <v>High</v>
      </c>
      <c r="M19" s="1">
        <v>2</v>
      </c>
      <c r="N19" s="1" t="str">
        <f>IF(Table2[[#This Row],[EKG results]]=0, "Normal", "Abnormal")</f>
        <v>Abnormal</v>
      </c>
      <c r="O19" s="1">
        <v>155</v>
      </c>
      <c r="P19" s="1">
        <v>1</v>
      </c>
      <c r="Q19" s="1" t="str">
        <f>IF(Table2[[#This Row],[Exercise angina]]=0, "Normal", "Abnormal")</f>
        <v>Abnormal</v>
      </c>
      <c r="R19" s="1">
        <v>3.1</v>
      </c>
      <c r="S19" s="1">
        <v>3</v>
      </c>
      <c r="T19" s="1">
        <v>0</v>
      </c>
      <c r="U19" s="1">
        <v>7</v>
      </c>
      <c r="V19"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9" s="1" t="s">
        <v>14</v>
      </c>
    </row>
    <row r="20" spans="1:23" x14ac:dyDescent="0.35">
      <c r="A20" s="1">
        <v>64</v>
      </c>
      <c r="B20" s="1" t="str">
        <f t="shared" si="0"/>
        <v>61-70</v>
      </c>
      <c r="C20" s="1">
        <v>1</v>
      </c>
      <c r="D20" s="1" t="str">
        <f>IF(Table2[[#This Row],[Sex]]=1,"Male", "Female")</f>
        <v>Male</v>
      </c>
      <c r="E20" s="1">
        <v>1</v>
      </c>
      <c r="F20" s="1" t="str">
        <f>IF(Table2[[#This Row],[Chest pain level]]=1, "Typical Angina", IF(Table2[[#This Row],[Chest pain level]]=2, "Atypical Angina", IF(Table2[[#This Row],[Chest pain level]]=3, "Non Anginal Pain", IF(Table2[[#This Row],[Chest pain level]]=4, "Asymptomatic"))))</f>
        <v>Typical Angina</v>
      </c>
      <c r="G20" s="1">
        <v>110</v>
      </c>
      <c r="H20" s="1" t="str">
        <f>IF(Table2[[#This Row],[BP]]&lt;=120, "Normal",  IF(Table2[[#This Row],[BP]]&lt;=130, "Slightly Elevated", IF(Table2[[#This Row],[BP]]&lt;=140, "High", "Very High")))</f>
        <v>Normal</v>
      </c>
      <c r="I20" s="1">
        <v>211</v>
      </c>
      <c r="J20" s="1" t="str">
        <f>IF(Table2[[#This Row],[Cholesterol]]&gt;=240, "High", "Normal")</f>
        <v>Normal</v>
      </c>
      <c r="K20" s="1">
        <v>0</v>
      </c>
      <c r="L20" s="1" t="str">
        <f>IF(Table2[[#This Row],[FBS over 120]]=0, "Normal", "High")</f>
        <v>Normal</v>
      </c>
      <c r="M20" s="1">
        <v>2</v>
      </c>
      <c r="N20" s="1" t="str">
        <f>IF(Table2[[#This Row],[EKG results]]=0, "Normal", "Abnormal")</f>
        <v>Abnormal</v>
      </c>
      <c r="O20" s="1">
        <v>144</v>
      </c>
      <c r="P20" s="1">
        <v>1</v>
      </c>
      <c r="Q20" s="1" t="str">
        <f>IF(Table2[[#This Row],[Exercise angina]]=0, "Normal", "Abnormal")</f>
        <v>Abnormal</v>
      </c>
      <c r="R20" s="1">
        <v>1.8</v>
      </c>
      <c r="S20" s="1">
        <v>2</v>
      </c>
      <c r="T20" s="1">
        <v>0</v>
      </c>
      <c r="U20" s="1">
        <v>3</v>
      </c>
      <c r="V20"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0" s="1" t="s">
        <v>15</v>
      </c>
    </row>
    <row r="21" spans="1:23" x14ac:dyDescent="0.35">
      <c r="A21" s="1">
        <v>40</v>
      </c>
      <c r="B21" s="1" t="str">
        <f t="shared" si="0"/>
        <v>31-40</v>
      </c>
      <c r="C21" s="1">
        <v>1</v>
      </c>
      <c r="D21" s="1" t="str">
        <f>IF(Table2[[#This Row],[Sex]]=1,"Male", "Female")</f>
        <v>Male</v>
      </c>
      <c r="E21" s="1">
        <v>1</v>
      </c>
      <c r="F21" s="1" t="str">
        <f>IF(Table2[[#This Row],[Chest pain level]]=1, "Typical Angina", IF(Table2[[#This Row],[Chest pain level]]=2, "Atypical Angina", IF(Table2[[#This Row],[Chest pain level]]=3, "Non Anginal Pain", IF(Table2[[#This Row],[Chest pain level]]=4, "Asymptomatic"))))</f>
        <v>Typical Angina</v>
      </c>
      <c r="G21" s="1">
        <v>140</v>
      </c>
      <c r="H21" s="1" t="str">
        <f>IF(Table2[[#This Row],[BP]]&lt;=120, "Normal",  IF(Table2[[#This Row],[BP]]&lt;=130, "Slightly Elevated", IF(Table2[[#This Row],[BP]]&lt;=140, "High", "Very High")))</f>
        <v>High</v>
      </c>
      <c r="I21" s="1">
        <v>199</v>
      </c>
      <c r="J21" s="1" t="str">
        <f>IF(Table2[[#This Row],[Cholesterol]]&gt;=240, "High", "Normal")</f>
        <v>Normal</v>
      </c>
      <c r="K21" s="1">
        <v>0</v>
      </c>
      <c r="L21" s="1" t="str">
        <f>IF(Table2[[#This Row],[FBS over 120]]=0, "Normal", "High")</f>
        <v>Normal</v>
      </c>
      <c r="M21" s="1">
        <v>0</v>
      </c>
      <c r="N21" s="1" t="str">
        <f>IF(Table2[[#This Row],[EKG results]]=0, "Normal", "Abnormal")</f>
        <v>Normal</v>
      </c>
      <c r="O21" s="1">
        <v>178</v>
      </c>
      <c r="P21" s="1">
        <v>1</v>
      </c>
      <c r="Q21" s="1" t="str">
        <f>IF(Table2[[#This Row],[Exercise angina]]=0, "Normal", "Abnormal")</f>
        <v>Abnormal</v>
      </c>
      <c r="R21" s="1">
        <v>1.4</v>
      </c>
      <c r="S21" s="1">
        <v>1</v>
      </c>
      <c r="T21" s="1">
        <v>0</v>
      </c>
      <c r="U21" s="1">
        <v>7</v>
      </c>
      <c r="V21"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1" s="1" t="s">
        <v>15</v>
      </c>
    </row>
    <row r="22" spans="1:23" x14ac:dyDescent="0.35">
      <c r="A22" s="1">
        <v>67</v>
      </c>
      <c r="B22" s="1" t="str">
        <f t="shared" si="0"/>
        <v>61-70</v>
      </c>
      <c r="C22" s="1">
        <v>1</v>
      </c>
      <c r="D22" s="1" t="str">
        <f>IF(Table2[[#This Row],[Sex]]=1,"Male", "Female")</f>
        <v>Male</v>
      </c>
      <c r="E22" s="1">
        <v>4</v>
      </c>
      <c r="F22" s="1" t="str">
        <f>IF(Table2[[#This Row],[Chest pain level]]=1, "Typical Angina", IF(Table2[[#This Row],[Chest pain level]]=2, "Atypical Angina", IF(Table2[[#This Row],[Chest pain level]]=3, "Non Anginal Pain", IF(Table2[[#This Row],[Chest pain level]]=4, "Asymptomatic"))))</f>
        <v>Asymptomatic</v>
      </c>
      <c r="G22" s="1">
        <v>120</v>
      </c>
      <c r="H22" s="1" t="str">
        <f>IF(Table2[[#This Row],[BP]]&lt;=120, "Normal",  IF(Table2[[#This Row],[BP]]&lt;=130, "Slightly Elevated", IF(Table2[[#This Row],[BP]]&lt;=140, "High", "Very High")))</f>
        <v>Normal</v>
      </c>
      <c r="I22" s="1">
        <v>229</v>
      </c>
      <c r="J22" s="1" t="str">
        <f>IF(Table2[[#This Row],[Cholesterol]]&gt;=240, "High", "Normal")</f>
        <v>Normal</v>
      </c>
      <c r="K22" s="1">
        <v>0</v>
      </c>
      <c r="L22" s="1" t="str">
        <f>IF(Table2[[#This Row],[FBS over 120]]=0, "Normal", "High")</f>
        <v>Normal</v>
      </c>
      <c r="M22" s="1">
        <v>2</v>
      </c>
      <c r="N22" s="1" t="str">
        <f>IF(Table2[[#This Row],[EKG results]]=0, "Normal", "Abnormal")</f>
        <v>Abnormal</v>
      </c>
      <c r="O22" s="1">
        <v>129</v>
      </c>
      <c r="P22" s="1">
        <v>1</v>
      </c>
      <c r="Q22" s="1" t="str">
        <f>IF(Table2[[#This Row],[Exercise angina]]=0, "Normal", "Abnormal")</f>
        <v>Abnormal</v>
      </c>
      <c r="R22" s="1">
        <v>2.6</v>
      </c>
      <c r="S22" s="1">
        <v>2</v>
      </c>
      <c r="T22" s="1">
        <v>2</v>
      </c>
      <c r="U22" s="1">
        <v>7</v>
      </c>
      <c r="V22"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2" s="1" t="s">
        <v>14</v>
      </c>
    </row>
    <row r="23" spans="1:23" x14ac:dyDescent="0.35">
      <c r="A23" s="1">
        <v>48</v>
      </c>
      <c r="B23" s="1" t="str">
        <f t="shared" si="0"/>
        <v>41-50</v>
      </c>
      <c r="C23" s="1">
        <v>1</v>
      </c>
      <c r="D23" s="1" t="str">
        <f>IF(Table2[[#This Row],[Sex]]=1,"Male", "Female")</f>
        <v>Male</v>
      </c>
      <c r="E23" s="1">
        <v>2</v>
      </c>
      <c r="F23" s="1" t="str">
        <f>IF(Table2[[#This Row],[Chest pain level]]=1, "Typical Angina", IF(Table2[[#This Row],[Chest pain level]]=2, "Atypical Angina", IF(Table2[[#This Row],[Chest pain level]]=3, "Non Anginal Pain", IF(Table2[[#This Row],[Chest pain level]]=4, "Asymptomatic"))))</f>
        <v>Atypical Angina</v>
      </c>
      <c r="G23" s="1">
        <v>130</v>
      </c>
      <c r="H23" s="1" t="str">
        <f>IF(Table2[[#This Row],[BP]]&lt;=120, "Normal",  IF(Table2[[#This Row],[BP]]&lt;=130, "Slightly Elevated", IF(Table2[[#This Row],[BP]]&lt;=140, "High", "Very High")))</f>
        <v>Slightly Elevated</v>
      </c>
      <c r="I23" s="1">
        <v>245</v>
      </c>
      <c r="J23" s="1" t="str">
        <f>IF(Table2[[#This Row],[Cholesterol]]&gt;=240, "High", "Normal")</f>
        <v>High</v>
      </c>
      <c r="K23" s="1">
        <v>0</v>
      </c>
      <c r="L23" s="1" t="str">
        <f>IF(Table2[[#This Row],[FBS over 120]]=0, "Normal", "High")</f>
        <v>Normal</v>
      </c>
      <c r="M23" s="1">
        <v>2</v>
      </c>
      <c r="N23" s="1" t="str">
        <f>IF(Table2[[#This Row],[EKG results]]=0, "Normal", "Abnormal")</f>
        <v>Abnormal</v>
      </c>
      <c r="O23" s="1">
        <v>180</v>
      </c>
      <c r="P23" s="1">
        <v>0</v>
      </c>
      <c r="Q23" s="1" t="str">
        <f>IF(Table2[[#This Row],[Exercise angina]]=0, "Normal", "Abnormal")</f>
        <v>Normal</v>
      </c>
      <c r="R23" s="1">
        <v>0.2</v>
      </c>
      <c r="S23" s="1">
        <v>2</v>
      </c>
      <c r="T23" s="1">
        <v>0</v>
      </c>
      <c r="U23" s="1">
        <v>3</v>
      </c>
      <c r="V23"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3" s="1" t="s">
        <v>15</v>
      </c>
    </row>
    <row r="24" spans="1:23" x14ac:dyDescent="0.35">
      <c r="A24" s="1">
        <v>43</v>
      </c>
      <c r="B24" s="1" t="str">
        <f t="shared" si="0"/>
        <v>41-50</v>
      </c>
      <c r="C24" s="1">
        <v>1</v>
      </c>
      <c r="D24" s="1" t="str">
        <f>IF(Table2[[#This Row],[Sex]]=1,"Male", "Female")</f>
        <v>Male</v>
      </c>
      <c r="E24" s="1">
        <v>4</v>
      </c>
      <c r="F24" s="1" t="str">
        <f>IF(Table2[[#This Row],[Chest pain level]]=1, "Typical Angina", IF(Table2[[#This Row],[Chest pain level]]=2, "Atypical Angina", IF(Table2[[#This Row],[Chest pain level]]=3, "Non Anginal Pain", IF(Table2[[#This Row],[Chest pain level]]=4, "Asymptomatic"))))</f>
        <v>Asymptomatic</v>
      </c>
      <c r="G24" s="1">
        <v>115</v>
      </c>
      <c r="H24" s="1" t="str">
        <f>IF(Table2[[#This Row],[BP]]&lt;=120, "Normal",  IF(Table2[[#This Row],[BP]]&lt;=130, "Slightly Elevated", IF(Table2[[#This Row],[BP]]&lt;=140, "High", "Very High")))</f>
        <v>Normal</v>
      </c>
      <c r="I24" s="1">
        <v>303</v>
      </c>
      <c r="J24" s="1" t="str">
        <f>IF(Table2[[#This Row],[Cholesterol]]&gt;=240, "High", "Normal")</f>
        <v>High</v>
      </c>
      <c r="K24" s="1">
        <v>0</v>
      </c>
      <c r="L24" s="1" t="str">
        <f>IF(Table2[[#This Row],[FBS over 120]]=0, "Normal", "High")</f>
        <v>Normal</v>
      </c>
      <c r="M24" s="1">
        <v>0</v>
      </c>
      <c r="N24" s="1" t="str">
        <f>IF(Table2[[#This Row],[EKG results]]=0, "Normal", "Abnormal")</f>
        <v>Normal</v>
      </c>
      <c r="O24" s="1">
        <v>181</v>
      </c>
      <c r="P24" s="1">
        <v>0</v>
      </c>
      <c r="Q24" s="1" t="str">
        <f>IF(Table2[[#This Row],[Exercise angina]]=0, "Normal", "Abnormal")</f>
        <v>Normal</v>
      </c>
      <c r="R24" s="1">
        <v>1.2</v>
      </c>
      <c r="S24" s="1">
        <v>2</v>
      </c>
      <c r="T24" s="1">
        <v>0</v>
      </c>
      <c r="U24" s="1">
        <v>3</v>
      </c>
      <c r="V24"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4" s="1" t="s">
        <v>15</v>
      </c>
    </row>
    <row r="25" spans="1:23" x14ac:dyDescent="0.35">
      <c r="A25" s="1">
        <v>47</v>
      </c>
      <c r="B25" s="1" t="str">
        <f t="shared" si="0"/>
        <v>41-50</v>
      </c>
      <c r="C25" s="1">
        <v>1</v>
      </c>
      <c r="D25" s="1" t="str">
        <f>IF(Table2[[#This Row],[Sex]]=1,"Male", "Female")</f>
        <v>Male</v>
      </c>
      <c r="E25" s="1">
        <v>4</v>
      </c>
      <c r="F25" s="1" t="str">
        <f>IF(Table2[[#This Row],[Chest pain level]]=1, "Typical Angina", IF(Table2[[#This Row],[Chest pain level]]=2, "Atypical Angina", IF(Table2[[#This Row],[Chest pain level]]=3, "Non Anginal Pain", IF(Table2[[#This Row],[Chest pain level]]=4, "Asymptomatic"))))</f>
        <v>Asymptomatic</v>
      </c>
      <c r="G25" s="1">
        <v>112</v>
      </c>
      <c r="H25" s="1" t="str">
        <f>IF(Table2[[#This Row],[BP]]&lt;=120, "Normal",  IF(Table2[[#This Row],[BP]]&lt;=130, "Slightly Elevated", IF(Table2[[#This Row],[BP]]&lt;=140, "High", "Very High")))</f>
        <v>Normal</v>
      </c>
      <c r="I25" s="1">
        <v>204</v>
      </c>
      <c r="J25" s="1" t="str">
        <f>IF(Table2[[#This Row],[Cholesterol]]&gt;=240, "High", "Normal")</f>
        <v>Normal</v>
      </c>
      <c r="K25" s="1">
        <v>0</v>
      </c>
      <c r="L25" s="1" t="str">
        <f>IF(Table2[[#This Row],[FBS over 120]]=0, "Normal", "High")</f>
        <v>Normal</v>
      </c>
      <c r="M25" s="1">
        <v>0</v>
      </c>
      <c r="N25" s="1" t="str">
        <f>IF(Table2[[#This Row],[EKG results]]=0, "Normal", "Abnormal")</f>
        <v>Normal</v>
      </c>
      <c r="O25" s="1">
        <v>143</v>
      </c>
      <c r="P25" s="1">
        <v>0</v>
      </c>
      <c r="Q25" s="1" t="str">
        <f>IF(Table2[[#This Row],[Exercise angina]]=0, "Normal", "Abnormal")</f>
        <v>Normal</v>
      </c>
      <c r="R25" s="1">
        <v>0.1</v>
      </c>
      <c r="S25" s="1">
        <v>1</v>
      </c>
      <c r="T25" s="1">
        <v>0</v>
      </c>
      <c r="U25" s="1">
        <v>3</v>
      </c>
      <c r="V25"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Not At Risk</v>
      </c>
      <c r="W25" s="1" t="s">
        <v>15</v>
      </c>
    </row>
    <row r="26" spans="1:23" x14ac:dyDescent="0.35">
      <c r="A26" s="1">
        <v>54</v>
      </c>
      <c r="B26" s="1" t="str">
        <f t="shared" si="0"/>
        <v>51-60</v>
      </c>
      <c r="C26" s="1">
        <v>0</v>
      </c>
      <c r="D26" s="1" t="str">
        <f>IF(Table2[[#This Row],[Sex]]=1,"Male", "Female")</f>
        <v>Female</v>
      </c>
      <c r="E26" s="1">
        <v>2</v>
      </c>
      <c r="F26" s="1" t="str">
        <f>IF(Table2[[#This Row],[Chest pain level]]=1, "Typical Angina", IF(Table2[[#This Row],[Chest pain level]]=2, "Atypical Angina", IF(Table2[[#This Row],[Chest pain level]]=3, "Non Anginal Pain", IF(Table2[[#This Row],[Chest pain level]]=4, "Asymptomatic"))))</f>
        <v>Atypical Angina</v>
      </c>
      <c r="G26" s="1">
        <v>132</v>
      </c>
      <c r="H26" s="1" t="str">
        <f>IF(Table2[[#This Row],[BP]]&lt;=120, "Normal",  IF(Table2[[#This Row],[BP]]&lt;=130, "Slightly Elevated", IF(Table2[[#This Row],[BP]]&lt;=140, "High", "Very High")))</f>
        <v>High</v>
      </c>
      <c r="I26" s="1">
        <v>288</v>
      </c>
      <c r="J26" s="1" t="str">
        <f>IF(Table2[[#This Row],[Cholesterol]]&gt;=240, "High", "Normal")</f>
        <v>High</v>
      </c>
      <c r="K26" s="1">
        <v>1</v>
      </c>
      <c r="L26" s="1" t="str">
        <f>IF(Table2[[#This Row],[FBS over 120]]=0, "Normal", "High")</f>
        <v>High</v>
      </c>
      <c r="M26" s="1">
        <v>2</v>
      </c>
      <c r="N26" s="1" t="str">
        <f>IF(Table2[[#This Row],[EKG results]]=0, "Normal", "Abnormal")</f>
        <v>Abnormal</v>
      </c>
      <c r="O26" s="1">
        <v>159</v>
      </c>
      <c r="P26" s="1">
        <v>1</v>
      </c>
      <c r="Q26" s="1" t="str">
        <f>IF(Table2[[#This Row],[Exercise angina]]=0, "Normal", "Abnormal")</f>
        <v>Abnormal</v>
      </c>
      <c r="R26" s="1">
        <v>0</v>
      </c>
      <c r="S26" s="1">
        <v>1</v>
      </c>
      <c r="T26" s="1">
        <v>1</v>
      </c>
      <c r="U26" s="1">
        <v>3</v>
      </c>
      <c r="V26"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6" s="1" t="s">
        <v>15</v>
      </c>
    </row>
    <row r="27" spans="1:23" x14ac:dyDescent="0.35">
      <c r="A27" s="1">
        <v>48</v>
      </c>
      <c r="B27" s="1" t="str">
        <f t="shared" si="0"/>
        <v>41-50</v>
      </c>
      <c r="C27" s="1">
        <v>0</v>
      </c>
      <c r="D27" s="1" t="str">
        <f>IF(Table2[[#This Row],[Sex]]=1,"Male", "Female")</f>
        <v>Female</v>
      </c>
      <c r="E27" s="1">
        <v>3</v>
      </c>
      <c r="F27" s="1" t="str">
        <f>IF(Table2[[#This Row],[Chest pain level]]=1, "Typical Angina", IF(Table2[[#This Row],[Chest pain level]]=2, "Atypical Angina", IF(Table2[[#This Row],[Chest pain level]]=3, "Non Anginal Pain", IF(Table2[[#This Row],[Chest pain level]]=4, "Asymptomatic"))))</f>
        <v>Non Anginal Pain</v>
      </c>
      <c r="G27" s="1">
        <v>130</v>
      </c>
      <c r="H27" s="1" t="str">
        <f>IF(Table2[[#This Row],[BP]]&lt;=120, "Normal",  IF(Table2[[#This Row],[BP]]&lt;=130, "Slightly Elevated", IF(Table2[[#This Row],[BP]]&lt;=140, "High", "Very High")))</f>
        <v>Slightly Elevated</v>
      </c>
      <c r="I27" s="1">
        <v>275</v>
      </c>
      <c r="J27" s="1" t="str">
        <f>IF(Table2[[#This Row],[Cholesterol]]&gt;=240, "High", "Normal")</f>
        <v>High</v>
      </c>
      <c r="K27" s="1">
        <v>0</v>
      </c>
      <c r="L27" s="1" t="str">
        <f>IF(Table2[[#This Row],[FBS over 120]]=0, "Normal", "High")</f>
        <v>Normal</v>
      </c>
      <c r="M27" s="1">
        <v>0</v>
      </c>
      <c r="N27" s="1" t="str">
        <f>IF(Table2[[#This Row],[EKG results]]=0, "Normal", "Abnormal")</f>
        <v>Normal</v>
      </c>
      <c r="O27" s="1">
        <v>139</v>
      </c>
      <c r="P27" s="1">
        <v>0</v>
      </c>
      <c r="Q27" s="1" t="str">
        <f>IF(Table2[[#This Row],[Exercise angina]]=0, "Normal", "Abnormal")</f>
        <v>Normal</v>
      </c>
      <c r="R27" s="1">
        <v>0.2</v>
      </c>
      <c r="S27" s="1">
        <v>1</v>
      </c>
      <c r="T27" s="1">
        <v>0</v>
      </c>
      <c r="U27" s="1">
        <v>3</v>
      </c>
      <c r="V27"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7" s="1" t="s">
        <v>15</v>
      </c>
    </row>
    <row r="28" spans="1:23" x14ac:dyDescent="0.35">
      <c r="A28" s="1">
        <v>46</v>
      </c>
      <c r="B28" s="1" t="str">
        <f t="shared" si="0"/>
        <v>41-50</v>
      </c>
      <c r="C28" s="1">
        <v>0</v>
      </c>
      <c r="D28" s="1" t="str">
        <f>IF(Table2[[#This Row],[Sex]]=1,"Male", "Female")</f>
        <v>Female</v>
      </c>
      <c r="E28" s="1">
        <v>4</v>
      </c>
      <c r="F28" s="1" t="str">
        <f>IF(Table2[[#This Row],[Chest pain level]]=1, "Typical Angina", IF(Table2[[#This Row],[Chest pain level]]=2, "Atypical Angina", IF(Table2[[#This Row],[Chest pain level]]=3, "Non Anginal Pain", IF(Table2[[#This Row],[Chest pain level]]=4, "Asymptomatic"))))</f>
        <v>Asymptomatic</v>
      </c>
      <c r="G28" s="1">
        <v>138</v>
      </c>
      <c r="H28" s="1" t="str">
        <f>IF(Table2[[#This Row],[BP]]&lt;=120, "Normal",  IF(Table2[[#This Row],[BP]]&lt;=130, "Slightly Elevated", IF(Table2[[#This Row],[BP]]&lt;=140, "High", "Very High")))</f>
        <v>High</v>
      </c>
      <c r="I28" s="1">
        <v>243</v>
      </c>
      <c r="J28" s="1" t="str">
        <f>IF(Table2[[#This Row],[Cholesterol]]&gt;=240, "High", "Normal")</f>
        <v>High</v>
      </c>
      <c r="K28" s="1">
        <v>0</v>
      </c>
      <c r="L28" s="1" t="str">
        <f>IF(Table2[[#This Row],[FBS over 120]]=0, "Normal", "High")</f>
        <v>Normal</v>
      </c>
      <c r="M28" s="1">
        <v>2</v>
      </c>
      <c r="N28" s="1" t="str">
        <f>IF(Table2[[#This Row],[EKG results]]=0, "Normal", "Abnormal")</f>
        <v>Abnormal</v>
      </c>
      <c r="O28" s="1">
        <v>152</v>
      </c>
      <c r="P28" s="1">
        <v>1</v>
      </c>
      <c r="Q28" s="1" t="str">
        <f>IF(Table2[[#This Row],[Exercise angina]]=0, "Normal", "Abnormal")</f>
        <v>Abnormal</v>
      </c>
      <c r="R28" s="1">
        <v>0</v>
      </c>
      <c r="S28" s="1">
        <v>2</v>
      </c>
      <c r="T28" s="1">
        <v>0</v>
      </c>
      <c r="U28" s="1">
        <v>3</v>
      </c>
      <c r="V28"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8" s="1" t="s">
        <v>15</v>
      </c>
    </row>
    <row r="29" spans="1:23" x14ac:dyDescent="0.35">
      <c r="A29" s="1">
        <v>51</v>
      </c>
      <c r="B29" s="1" t="str">
        <f t="shared" si="0"/>
        <v>51-60</v>
      </c>
      <c r="C29" s="1">
        <v>0</v>
      </c>
      <c r="D29" s="1" t="str">
        <f>IF(Table2[[#This Row],[Sex]]=1,"Male", "Female")</f>
        <v>Female</v>
      </c>
      <c r="E29" s="1">
        <v>3</v>
      </c>
      <c r="F29" s="1" t="str">
        <f>IF(Table2[[#This Row],[Chest pain level]]=1, "Typical Angina", IF(Table2[[#This Row],[Chest pain level]]=2, "Atypical Angina", IF(Table2[[#This Row],[Chest pain level]]=3, "Non Anginal Pain", IF(Table2[[#This Row],[Chest pain level]]=4, "Asymptomatic"))))</f>
        <v>Non Anginal Pain</v>
      </c>
      <c r="G29" s="1">
        <v>120</v>
      </c>
      <c r="H29" s="1" t="str">
        <f>IF(Table2[[#This Row],[BP]]&lt;=120, "Normal",  IF(Table2[[#This Row],[BP]]&lt;=130, "Slightly Elevated", IF(Table2[[#This Row],[BP]]&lt;=140, "High", "Very High")))</f>
        <v>Normal</v>
      </c>
      <c r="I29" s="1">
        <v>295</v>
      </c>
      <c r="J29" s="1" t="str">
        <f>IF(Table2[[#This Row],[Cholesterol]]&gt;=240, "High", "Normal")</f>
        <v>High</v>
      </c>
      <c r="K29" s="1">
        <v>0</v>
      </c>
      <c r="L29" s="1" t="str">
        <f>IF(Table2[[#This Row],[FBS over 120]]=0, "Normal", "High")</f>
        <v>Normal</v>
      </c>
      <c r="M29" s="1">
        <v>2</v>
      </c>
      <c r="N29" s="1" t="str">
        <f>IF(Table2[[#This Row],[EKG results]]=0, "Normal", "Abnormal")</f>
        <v>Abnormal</v>
      </c>
      <c r="O29" s="1">
        <v>157</v>
      </c>
      <c r="P29" s="1">
        <v>0</v>
      </c>
      <c r="Q29" s="1" t="str">
        <f>IF(Table2[[#This Row],[Exercise angina]]=0, "Normal", "Abnormal")</f>
        <v>Normal</v>
      </c>
      <c r="R29" s="1">
        <v>0.6</v>
      </c>
      <c r="S29" s="1">
        <v>1</v>
      </c>
      <c r="T29" s="1">
        <v>0</v>
      </c>
      <c r="U29" s="1">
        <v>3</v>
      </c>
      <c r="V29"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9" s="1" t="s">
        <v>15</v>
      </c>
    </row>
    <row r="30" spans="1:23" x14ac:dyDescent="0.35">
      <c r="A30" s="1">
        <v>58</v>
      </c>
      <c r="B30" s="1" t="str">
        <f t="shared" si="0"/>
        <v>51-60</v>
      </c>
      <c r="C30" s="1">
        <v>1</v>
      </c>
      <c r="D30" s="1" t="str">
        <f>IF(Table2[[#This Row],[Sex]]=1,"Male", "Female")</f>
        <v>Male</v>
      </c>
      <c r="E30" s="1">
        <v>3</v>
      </c>
      <c r="F30" s="1" t="str">
        <f>IF(Table2[[#This Row],[Chest pain level]]=1, "Typical Angina", IF(Table2[[#This Row],[Chest pain level]]=2, "Atypical Angina", IF(Table2[[#This Row],[Chest pain level]]=3, "Non Anginal Pain", IF(Table2[[#This Row],[Chest pain level]]=4, "Asymptomatic"))))</f>
        <v>Non Anginal Pain</v>
      </c>
      <c r="G30" s="1">
        <v>112</v>
      </c>
      <c r="H30" s="1" t="str">
        <f>IF(Table2[[#This Row],[BP]]&lt;=120, "Normal",  IF(Table2[[#This Row],[BP]]&lt;=130, "Slightly Elevated", IF(Table2[[#This Row],[BP]]&lt;=140, "High", "Very High")))</f>
        <v>Normal</v>
      </c>
      <c r="I30" s="1">
        <v>230</v>
      </c>
      <c r="J30" s="1" t="str">
        <f>IF(Table2[[#This Row],[Cholesterol]]&gt;=240, "High", "Normal")</f>
        <v>Normal</v>
      </c>
      <c r="K30" s="1">
        <v>0</v>
      </c>
      <c r="L30" s="1" t="str">
        <f>IF(Table2[[#This Row],[FBS over 120]]=0, "Normal", "High")</f>
        <v>Normal</v>
      </c>
      <c r="M30" s="1">
        <v>2</v>
      </c>
      <c r="N30" s="1" t="str">
        <f>IF(Table2[[#This Row],[EKG results]]=0, "Normal", "Abnormal")</f>
        <v>Abnormal</v>
      </c>
      <c r="O30" s="1">
        <v>165</v>
      </c>
      <c r="P30" s="1">
        <v>0</v>
      </c>
      <c r="Q30" s="1" t="str">
        <f>IF(Table2[[#This Row],[Exercise angina]]=0, "Normal", "Abnormal")</f>
        <v>Normal</v>
      </c>
      <c r="R30" s="1">
        <v>2.5</v>
      </c>
      <c r="S30" s="1">
        <v>2</v>
      </c>
      <c r="T30" s="1">
        <v>1</v>
      </c>
      <c r="U30" s="1">
        <v>7</v>
      </c>
      <c r="V30"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30" s="1" t="s">
        <v>14</v>
      </c>
    </row>
    <row r="31" spans="1:23" x14ac:dyDescent="0.35">
      <c r="A31" s="1">
        <v>71</v>
      </c>
      <c r="B31" s="1" t="str">
        <f t="shared" si="0"/>
        <v>71-80</v>
      </c>
      <c r="C31" s="1">
        <v>0</v>
      </c>
      <c r="D31" s="1" t="str">
        <f>IF(Table2[[#This Row],[Sex]]=1,"Male", "Female")</f>
        <v>Female</v>
      </c>
      <c r="E31" s="1">
        <v>3</v>
      </c>
      <c r="F31" s="1" t="str">
        <f>IF(Table2[[#This Row],[Chest pain level]]=1, "Typical Angina", IF(Table2[[#This Row],[Chest pain level]]=2, "Atypical Angina", IF(Table2[[#This Row],[Chest pain level]]=3, "Non Anginal Pain", IF(Table2[[#This Row],[Chest pain level]]=4, "Asymptomatic"))))</f>
        <v>Non Anginal Pain</v>
      </c>
      <c r="G31" s="1">
        <v>110</v>
      </c>
      <c r="H31" s="1" t="str">
        <f>IF(Table2[[#This Row],[BP]]&lt;=120, "Normal",  IF(Table2[[#This Row],[BP]]&lt;=130, "Slightly Elevated", IF(Table2[[#This Row],[BP]]&lt;=140, "High", "Very High")))</f>
        <v>Normal</v>
      </c>
      <c r="I31" s="1">
        <v>265</v>
      </c>
      <c r="J31" s="1" t="str">
        <f>IF(Table2[[#This Row],[Cholesterol]]&gt;=240, "High", "Normal")</f>
        <v>High</v>
      </c>
      <c r="K31" s="1">
        <v>1</v>
      </c>
      <c r="L31" s="1" t="str">
        <f>IF(Table2[[#This Row],[FBS over 120]]=0, "Normal", "High")</f>
        <v>High</v>
      </c>
      <c r="M31" s="1">
        <v>2</v>
      </c>
      <c r="N31" s="1" t="str">
        <f>IF(Table2[[#This Row],[EKG results]]=0, "Normal", "Abnormal")</f>
        <v>Abnormal</v>
      </c>
      <c r="O31" s="1">
        <v>130</v>
      </c>
      <c r="P31" s="1">
        <v>0</v>
      </c>
      <c r="Q31" s="1" t="str">
        <f>IF(Table2[[#This Row],[Exercise angina]]=0, "Normal", "Abnormal")</f>
        <v>Normal</v>
      </c>
      <c r="R31" s="1">
        <v>0</v>
      </c>
      <c r="S31" s="1">
        <v>1</v>
      </c>
      <c r="T31" s="1">
        <v>1</v>
      </c>
      <c r="U31" s="1">
        <v>3</v>
      </c>
      <c r="V31"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31" s="1" t="s">
        <v>15</v>
      </c>
    </row>
    <row r="32" spans="1:23" x14ac:dyDescent="0.35">
      <c r="A32" s="1">
        <v>57</v>
      </c>
      <c r="B32" s="1" t="str">
        <f t="shared" si="0"/>
        <v>51-60</v>
      </c>
      <c r="C32" s="1">
        <v>1</v>
      </c>
      <c r="D32" s="1" t="str">
        <f>IF(Table2[[#This Row],[Sex]]=1,"Male", "Female")</f>
        <v>Male</v>
      </c>
      <c r="E32" s="1">
        <v>3</v>
      </c>
      <c r="F32" s="1" t="str">
        <f>IF(Table2[[#This Row],[Chest pain level]]=1, "Typical Angina", IF(Table2[[#This Row],[Chest pain level]]=2, "Atypical Angina", IF(Table2[[#This Row],[Chest pain level]]=3, "Non Anginal Pain", IF(Table2[[#This Row],[Chest pain level]]=4, "Asymptomatic"))))</f>
        <v>Non Anginal Pain</v>
      </c>
      <c r="G32" s="1">
        <v>128</v>
      </c>
      <c r="H32" s="1" t="str">
        <f>IF(Table2[[#This Row],[BP]]&lt;=120, "Normal",  IF(Table2[[#This Row],[BP]]&lt;=130, "Slightly Elevated", IF(Table2[[#This Row],[BP]]&lt;=140, "High", "Very High")))</f>
        <v>Slightly Elevated</v>
      </c>
      <c r="I32" s="1">
        <v>229</v>
      </c>
      <c r="J32" s="1" t="str">
        <f>IF(Table2[[#This Row],[Cholesterol]]&gt;=240, "High", "Normal")</f>
        <v>Normal</v>
      </c>
      <c r="K32" s="1">
        <v>0</v>
      </c>
      <c r="L32" s="1" t="str">
        <f>IF(Table2[[#This Row],[FBS over 120]]=0, "Normal", "High")</f>
        <v>Normal</v>
      </c>
      <c r="M32" s="1">
        <v>2</v>
      </c>
      <c r="N32" s="1" t="str">
        <f>IF(Table2[[#This Row],[EKG results]]=0, "Normal", "Abnormal")</f>
        <v>Abnormal</v>
      </c>
      <c r="O32" s="1">
        <v>150</v>
      </c>
      <c r="P32" s="1">
        <v>0</v>
      </c>
      <c r="Q32" s="1" t="str">
        <f>IF(Table2[[#This Row],[Exercise angina]]=0, "Normal", "Abnormal")</f>
        <v>Normal</v>
      </c>
      <c r="R32" s="1">
        <v>0.4</v>
      </c>
      <c r="S32" s="1">
        <v>2</v>
      </c>
      <c r="T32" s="1">
        <v>1</v>
      </c>
      <c r="U32" s="1">
        <v>7</v>
      </c>
      <c r="V32"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32" s="1" t="s">
        <v>14</v>
      </c>
    </row>
    <row r="33" spans="1:23" x14ac:dyDescent="0.35">
      <c r="A33" s="1">
        <v>66</v>
      </c>
      <c r="B33" s="1" t="str">
        <f t="shared" si="0"/>
        <v>61-70</v>
      </c>
      <c r="C33" s="1">
        <v>1</v>
      </c>
      <c r="D33" s="1" t="str">
        <f>IF(Table2[[#This Row],[Sex]]=1,"Male", "Female")</f>
        <v>Male</v>
      </c>
      <c r="E33" s="1">
        <v>4</v>
      </c>
      <c r="F33" s="1" t="str">
        <f>IF(Table2[[#This Row],[Chest pain level]]=1, "Typical Angina", IF(Table2[[#This Row],[Chest pain level]]=2, "Atypical Angina", IF(Table2[[#This Row],[Chest pain level]]=3, "Non Anginal Pain", IF(Table2[[#This Row],[Chest pain level]]=4, "Asymptomatic"))))</f>
        <v>Asymptomatic</v>
      </c>
      <c r="G33" s="1">
        <v>160</v>
      </c>
      <c r="H33" s="1" t="str">
        <f>IF(Table2[[#This Row],[BP]]&lt;=120, "Normal",  IF(Table2[[#This Row],[BP]]&lt;=130, "Slightly Elevated", IF(Table2[[#This Row],[BP]]&lt;=140, "High", "Very High")))</f>
        <v>Very High</v>
      </c>
      <c r="I33" s="1">
        <v>228</v>
      </c>
      <c r="J33" s="1" t="str">
        <f>IF(Table2[[#This Row],[Cholesterol]]&gt;=240, "High", "Normal")</f>
        <v>Normal</v>
      </c>
      <c r="K33" s="1">
        <v>0</v>
      </c>
      <c r="L33" s="1" t="str">
        <f>IF(Table2[[#This Row],[FBS over 120]]=0, "Normal", "High")</f>
        <v>Normal</v>
      </c>
      <c r="M33" s="1">
        <v>2</v>
      </c>
      <c r="N33" s="1" t="str">
        <f>IF(Table2[[#This Row],[EKG results]]=0, "Normal", "Abnormal")</f>
        <v>Abnormal</v>
      </c>
      <c r="O33" s="1">
        <v>138</v>
      </c>
      <c r="P33" s="1">
        <v>0</v>
      </c>
      <c r="Q33" s="1" t="str">
        <f>IF(Table2[[#This Row],[Exercise angina]]=0, "Normal", "Abnormal")</f>
        <v>Normal</v>
      </c>
      <c r="R33" s="1">
        <v>2.2999999999999998</v>
      </c>
      <c r="S33" s="1">
        <v>1</v>
      </c>
      <c r="T33" s="1">
        <v>0</v>
      </c>
      <c r="U33" s="1">
        <v>6</v>
      </c>
      <c r="V33"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33" s="1" t="s">
        <v>15</v>
      </c>
    </row>
    <row r="34" spans="1:23" x14ac:dyDescent="0.35">
      <c r="A34" s="1">
        <v>37</v>
      </c>
      <c r="B34" s="1" t="str">
        <f t="shared" si="0"/>
        <v>31-40</v>
      </c>
      <c r="C34" s="1">
        <v>0</v>
      </c>
      <c r="D34" s="1" t="str">
        <f>IF(Table2[[#This Row],[Sex]]=1,"Male", "Female")</f>
        <v>Female</v>
      </c>
      <c r="E34" s="1">
        <v>3</v>
      </c>
      <c r="F34" s="1" t="str">
        <f>IF(Table2[[#This Row],[Chest pain level]]=1, "Typical Angina", IF(Table2[[#This Row],[Chest pain level]]=2, "Atypical Angina", IF(Table2[[#This Row],[Chest pain level]]=3, "Non Anginal Pain", IF(Table2[[#This Row],[Chest pain level]]=4, "Asymptomatic"))))</f>
        <v>Non Anginal Pain</v>
      </c>
      <c r="G34" s="1">
        <v>120</v>
      </c>
      <c r="H34" s="1" t="str">
        <f>IF(Table2[[#This Row],[BP]]&lt;=120, "Normal",  IF(Table2[[#This Row],[BP]]&lt;=130, "Slightly Elevated", IF(Table2[[#This Row],[BP]]&lt;=140, "High", "Very High")))</f>
        <v>Normal</v>
      </c>
      <c r="I34" s="1">
        <v>215</v>
      </c>
      <c r="J34" s="1" t="str">
        <f>IF(Table2[[#This Row],[Cholesterol]]&gt;=240, "High", "Normal")</f>
        <v>Normal</v>
      </c>
      <c r="K34" s="1">
        <v>0</v>
      </c>
      <c r="L34" s="1" t="str">
        <f>IF(Table2[[#This Row],[FBS over 120]]=0, "Normal", "High")</f>
        <v>Normal</v>
      </c>
      <c r="M34" s="1">
        <v>0</v>
      </c>
      <c r="N34" s="1" t="str">
        <f>IF(Table2[[#This Row],[EKG results]]=0, "Normal", "Abnormal")</f>
        <v>Normal</v>
      </c>
      <c r="O34" s="1">
        <v>170</v>
      </c>
      <c r="P34" s="1">
        <v>0</v>
      </c>
      <c r="Q34" s="1" t="str">
        <f>IF(Table2[[#This Row],[Exercise angina]]=0, "Normal", "Abnormal")</f>
        <v>Normal</v>
      </c>
      <c r="R34" s="1">
        <v>0</v>
      </c>
      <c r="S34" s="1">
        <v>1</v>
      </c>
      <c r="T34" s="1">
        <v>0</v>
      </c>
      <c r="U34" s="1">
        <v>3</v>
      </c>
      <c r="V34"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Not At Risk</v>
      </c>
      <c r="W34" s="1" t="s">
        <v>15</v>
      </c>
    </row>
    <row r="35" spans="1:23" x14ac:dyDescent="0.35">
      <c r="A35" s="1">
        <v>59</v>
      </c>
      <c r="B35" s="1" t="str">
        <f t="shared" si="0"/>
        <v>51-60</v>
      </c>
      <c r="C35" s="1">
        <v>1</v>
      </c>
      <c r="D35" s="1" t="str">
        <f>IF(Table2[[#This Row],[Sex]]=1,"Male", "Female")</f>
        <v>Male</v>
      </c>
      <c r="E35" s="1">
        <v>4</v>
      </c>
      <c r="F35" s="1" t="str">
        <f>IF(Table2[[#This Row],[Chest pain level]]=1, "Typical Angina", IF(Table2[[#This Row],[Chest pain level]]=2, "Atypical Angina", IF(Table2[[#This Row],[Chest pain level]]=3, "Non Anginal Pain", IF(Table2[[#This Row],[Chest pain level]]=4, "Asymptomatic"))))</f>
        <v>Asymptomatic</v>
      </c>
      <c r="G35" s="1">
        <v>170</v>
      </c>
      <c r="H35" s="1" t="str">
        <f>IF(Table2[[#This Row],[BP]]&lt;=120, "Normal",  IF(Table2[[#This Row],[BP]]&lt;=130, "Slightly Elevated", IF(Table2[[#This Row],[BP]]&lt;=140, "High", "Very High")))</f>
        <v>Very High</v>
      </c>
      <c r="I35" s="1">
        <v>326</v>
      </c>
      <c r="J35" s="1" t="str">
        <f>IF(Table2[[#This Row],[Cholesterol]]&gt;=240, "High", "Normal")</f>
        <v>High</v>
      </c>
      <c r="K35" s="1">
        <v>0</v>
      </c>
      <c r="L35" s="1" t="str">
        <f>IF(Table2[[#This Row],[FBS over 120]]=0, "Normal", "High")</f>
        <v>Normal</v>
      </c>
      <c r="M35" s="1">
        <v>2</v>
      </c>
      <c r="N35" s="1" t="str">
        <f>IF(Table2[[#This Row],[EKG results]]=0, "Normal", "Abnormal")</f>
        <v>Abnormal</v>
      </c>
      <c r="O35" s="1">
        <v>140</v>
      </c>
      <c r="P35" s="1">
        <v>1</v>
      </c>
      <c r="Q35" s="1" t="str">
        <f>IF(Table2[[#This Row],[Exercise angina]]=0, "Normal", "Abnormal")</f>
        <v>Abnormal</v>
      </c>
      <c r="R35" s="1">
        <v>3.4</v>
      </c>
      <c r="S35" s="1">
        <v>3</v>
      </c>
      <c r="T35" s="1">
        <v>0</v>
      </c>
      <c r="U35" s="1">
        <v>7</v>
      </c>
      <c r="V35"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35" s="1" t="s">
        <v>14</v>
      </c>
    </row>
    <row r="36" spans="1:23" x14ac:dyDescent="0.35">
      <c r="A36" s="1">
        <v>50</v>
      </c>
      <c r="B36" s="1" t="str">
        <f t="shared" si="0"/>
        <v>41-50</v>
      </c>
      <c r="C36" s="1">
        <v>1</v>
      </c>
      <c r="D36" s="1" t="str">
        <f>IF(Table2[[#This Row],[Sex]]=1,"Male", "Female")</f>
        <v>Male</v>
      </c>
      <c r="E36" s="1">
        <v>4</v>
      </c>
      <c r="F36" s="1" t="str">
        <f>IF(Table2[[#This Row],[Chest pain level]]=1, "Typical Angina", IF(Table2[[#This Row],[Chest pain level]]=2, "Atypical Angina", IF(Table2[[#This Row],[Chest pain level]]=3, "Non Anginal Pain", IF(Table2[[#This Row],[Chest pain level]]=4, "Asymptomatic"))))</f>
        <v>Asymptomatic</v>
      </c>
      <c r="G36" s="1">
        <v>144</v>
      </c>
      <c r="H36" s="1" t="str">
        <f>IF(Table2[[#This Row],[BP]]&lt;=120, "Normal",  IF(Table2[[#This Row],[BP]]&lt;=130, "Slightly Elevated", IF(Table2[[#This Row],[BP]]&lt;=140, "High", "Very High")))</f>
        <v>Very High</v>
      </c>
      <c r="I36" s="1">
        <v>200</v>
      </c>
      <c r="J36" s="1" t="str">
        <f>IF(Table2[[#This Row],[Cholesterol]]&gt;=240, "High", "Normal")</f>
        <v>Normal</v>
      </c>
      <c r="K36" s="1">
        <v>0</v>
      </c>
      <c r="L36" s="1" t="str">
        <f>IF(Table2[[#This Row],[FBS over 120]]=0, "Normal", "High")</f>
        <v>Normal</v>
      </c>
      <c r="M36" s="1">
        <v>2</v>
      </c>
      <c r="N36" s="1" t="str">
        <f>IF(Table2[[#This Row],[EKG results]]=0, "Normal", "Abnormal")</f>
        <v>Abnormal</v>
      </c>
      <c r="O36" s="1">
        <v>126</v>
      </c>
      <c r="P36" s="1">
        <v>1</v>
      </c>
      <c r="Q36" s="1" t="str">
        <f>IF(Table2[[#This Row],[Exercise angina]]=0, "Normal", "Abnormal")</f>
        <v>Abnormal</v>
      </c>
      <c r="R36" s="1">
        <v>0.9</v>
      </c>
      <c r="S36" s="1">
        <v>2</v>
      </c>
      <c r="T36" s="1">
        <v>0</v>
      </c>
      <c r="U36" s="1">
        <v>7</v>
      </c>
      <c r="V36"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36" s="1" t="s">
        <v>14</v>
      </c>
    </row>
    <row r="37" spans="1:23" x14ac:dyDescent="0.35">
      <c r="A37" s="1">
        <v>48</v>
      </c>
      <c r="B37" s="1" t="str">
        <f t="shared" si="0"/>
        <v>41-50</v>
      </c>
      <c r="C37" s="1">
        <v>1</v>
      </c>
      <c r="D37" s="1" t="str">
        <f>IF(Table2[[#This Row],[Sex]]=1,"Male", "Female")</f>
        <v>Male</v>
      </c>
      <c r="E37" s="1">
        <v>4</v>
      </c>
      <c r="F37" s="1" t="str">
        <f>IF(Table2[[#This Row],[Chest pain level]]=1, "Typical Angina", IF(Table2[[#This Row],[Chest pain level]]=2, "Atypical Angina", IF(Table2[[#This Row],[Chest pain level]]=3, "Non Anginal Pain", IF(Table2[[#This Row],[Chest pain level]]=4, "Asymptomatic"))))</f>
        <v>Asymptomatic</v>
      </c>
      <c r="G37" s="1">
        <v>130</v>
      </c>
      <c r="H37" s="1" t="str">
        <f>IF(Table2[[#This Row],[BP]]&lt;=120, "Normal",  IF(Table2[[#This Row],[BP]]&lt;=130, "Slightly Elevated", IF(Table2[[#This Row],[BP]]&lt;=140, "High", "Very High")))</f>
        <v>Slightly Elevated</v>
      </c>
      <c r="I37" s="1">
        <v>256</v>
      </c>
      <c r="J37" s="1" t="str">
        <f>IF(Table2[[#This Row],[Cholesterol]]&gt;=240, "High", "Normal")</f>
        <v>High</v>
      </c>
      <c r="K37" s="1">
        <v>1</v>
      </c>
      <c r="L37" s="1" t="str">
        <f>IF(Table2[[#This Row],[FBS over 120]]=0, "Normal", "High")</f>
        <v>High</v>
      </c>
      <c r="M37" s="1">
        <v>2</v>
      </c>
      <c r="N37" s="1" t="str">
        <f>IF(Table2[[#This Row],[EKG results]]=0, "Normal", "Abnormal")</f>
        <v>Abnormal</v>
      </c>
      <c r="O37" s="1">
        <v>150</v>
      </c>
      <c r="P37" s="1">
        <v>1</v>
      </c>
      <c r="Q37" s="1" t="str">
        <f>IF(Table2[[#This Row],[Exercise angina]]=0, "Normal", "Abnormal")</f>
        <v>Abnormal</v>
      </c>
      <c r="R37" s="1">
        <v>0</v>
      </c>
      <c r="S37" s="1">
        <v>1</v>
      </c>
      <c r="T37" s="1">
        <v>2</v>
      </c>
      <c r="U37" s="1">
        <v>7</v>
      </c>
      <c r="V37"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37" s="1" t="s">
        <v>14</v>
      </c>
    </row>
    <row r="38" spans="1:23" x14ac:dyDescent="0.35">
      <c r="A38" s="1">
        <v>61</v>
      </c>
      <c r="B38" s="1" t="str">
        <f t="shared" si="0"/>
        <v>61-70</v>
      </c>
      <c r="C38" s="1">
        <v>1</v>
      </c>
      <c r="D38" s="1" t="str">
        <f>IF(Table2[[#This Row],[Sex]]=1,"Male", "Female")</f>
        <v>Male</v>
      </c>
      <c r="E38" s="1">
        <v>4</v>
      </c>
      <c r="F38" s="1" t="str">
        <f>IF(Table2[[#This Row],[Chest pain level]]=1, "Typical Angina", IF(Table2[[#This Row],[Chest pain level]]=2, "Atypical Angina", IF(Table2[[#This Row],[Chest pain level]]=3, "Non Anginal Pain", IF(Table2[[#This Row],[Chest pain level]]=4, "Asymptomatic"))))</f>
        <v>Asymptomatic</v>
      </c>
      <c r="G38" s="1">
        <v>140</v>
      </c>
      <c r="H38" s="1" t="str">
        <f>IF(Table2[[#This Row],[BP]]&lt;=120, "Normal",  IF(Table2[[#This Row],[BP]]&lt;=130, "Slightly Elevated", IF(Table2[[#This Row],[BP]]&lt;=140, "High", "Very High")))</f>
        <v>High</v>
      </c>
      <c r="I38" s="1">
        <v>207</v>
      </c>
      <c r="J38" s="1" t="str">
        <f>IF(Table2[[#This Row],[Cholesterol]]&gt;=240, "High", "Normal")</f>
        <v>Normal</v>
      </c>
      <c r="K38" s="1">
        <v>0</v>
      </c>
      <c r="L38" s="1" t="str">
        <f>IF(Table2[[#This Row],[FBS over 120]]=0, "Normal", "High")</f>
        <v>Normal</v>
      </c>
      <c r="M38" s="1">
        <v>2</v>
      </c>
      <c r="N38" s="1" t="str">
        <f>IF(Table2[[#This Row],[EKG results]]=0, "Normal", "Abnormal")</f>
        <v>Abnormal</v>
      </c>
      <c r="O38" s="1">
        <v>138</v>
      </c>
      <c r="P38" s="1">
        <v>1</v>
      </c>
      <c r="Q38" s="1" t="str">
        <f>IF(Table2[[#This Row],[Exercise angina]]=0, "Normal", "Abnormal")</f>
        <v>Abnormal</v>
      </c>
      <c r="R38" s="1">
        <v>1.9</v>
      </c>
      <c r="S38" s="1">
        <v>1</v>
      </c>
      <c r="T38" s="1">
        <v>1</v>
      </c>
      <c r="U38" s="1">
        <v>7</v>
      </c>
      <c r="V38"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38" s="1" t="s">
        <v>14</v>
      </c>
    </row>
    <row r="39" spans="1:23" x14ac:dyDescent="0.35">
      <c r="A39" s="1">
        <v>59</v>
      </c>
      <c r="B39" s="1" t="str">
        <f t="shared" si="0"/>
        <v>51-60</v>
      </c>
      <c r="C39" s="1">
        <v>1</v>
      </c>
      <c r="D39" s="1" t="str">
        <f>IF(Table2[[#This Row],[Sex]]=1,"Male", "Female")</f>
        <v>Male</v>
      </c>
      <c r="E39" s="1">
        <v>1</v>
      </c>
      <c r="F39" s="1" t="str">
        <f>IF(Table2[[#This Row],[Chest pain level]]=1, "Typical Angina", IF(Table2[[#This Row],[Chest pain level]]=2, "Atypical Angina", IF(Table2[[#This Row],[Chest pain level]]=3, "Non Anginal Pain", IF(Table2[[#This Row],[Chest pain level]]=4, "Asymptomatic"))))</f>
        <v>Typical Angina</v>
      </c>
      <c r="G39" s="1">
        <v>160</v>
      </c>
      <c r="H39" s="1" t="str">
        <f>IF(Table2[[#This Row],[BP]]&lt;=120, "Normal",  IF(Table2[[#This Row],[BP]]&lt;=130, "Slightly Elevated", IF(Table2[[#This Row],[BP]]&lt;=140, "High", "Very High")))</f>
        <v>Very High</v>
      </c>
      <c r="I39" s="1">
        <v>273</v>
      </c>
      <c r="J39" s="1" t="str">
        <f>IF(Table2[[#This Row],[Cholesterol]]&gt;=240, "High", "Normal")</f>
        <v>High</v>
      </c>
      <c r="K39" s="1">
        <v>0</v>
      </c>
      <c r="L39" s="1" t="str">
        <f>IF(Table2[[#This Row],[FBS over 120]]=0, "Normal", "High")</f>
        <v>Normal</v>
      </c>
      <c r="M39" s="1">
        <v>2</v>
      </c>
      <c r="N39" s="1" t="str">
        <f>IF(Table2[[#This Row],[EKG results]]=0, "Normal", "Abnormal")</f>
        <v>Abnormal</v>
      </c>
      <c r="O39" s="1">
        <v>125</v>
      </c>
      <c r="P39" s="1">
        <v>0</v>
      </c>
      <c r="Q39" s="1" t="str">
        <f>IF(Table2[[#This Row],[Exercise angina]]=0, "Normal", "Abnormal")</f>
        <v>Normal</v>
      </c>
      <c r="R39" s="1">
        <v>0</v>
      </c>
      <c r="S39" s="1">
        <v>1</v>
      </c>
      <c r="T39" s="1">
        <v>0</v>
      </c>
      <c r="U39" s="1">
        <v>3</v>
      </c>
      <c r="V39"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39" s="1" t="s">
        <v>14</v>
      </c>
    </row>
    <row r="40" spans="1:23" x14ac:dyDescent="0.35">
      <c r="A40" s="1">
        <v>42</v>
      </c>
      <c r="B40" s="1" t="str">
        <f t="shared" si="0"/>
        <v>41-50</v>
      </c>
      <c r="C40" s="1">
        <v>1</v>
      </c>
      <c r="D40" s="1" t="str">
        <f>IF(Table2[[#This Row],[Sex]]=1,"Male", "Female")</f>
        <v>Male</v>
      </c>
      <c r="E40" s="1">
        <v>3</v>
      </c>
      <c r="F40" s="1" t="str">
        <f>IF(Table2[[#This Row],[Chest pain level]]=1, "Typical Angina", IF(Table2[[#This Row],[Chest pain level]]=2, "Atypical Angina", IF(Table2[[#This Row],[Chest pain level]]=3, "Non Anginal Pain", IF(Table2[[#This Row],[Chest pain level]]=4, "Asymptomatic"))))</f>
        <v>Non Anginal Pain</v>
      </c>
      <c r="G40" s="1">
        <v>130</v>
      </c>
      <c r="H40" s="1" t="str">
        <f>IF(Table2[[#This Row],[BP]]&lt;=120, "Normal",  IF(Table2[[#This Row],[BP]]&lt;=130, "Slightly Elevated", IF(Table2[[#This Row],[BP]]&lt;=140, "High", "Very High")))</f>
        <v>Slightly Elevated</v>
      </c>
      <c r="I40" s="1">
        <v>180</v>
      </c>
      <c r="J40" s="1" t="str">
        <f>IF(Table2[[#This Row],[Cholesterol]]&gt;=240, "High", "Normal")</f>
        <v>Normal</v>
      </c>
      <c r="K40" s="1">
        <v>0</v>
      </c>
      <c r="L40" s="1" t="str">
        <f>IF(Table2[[#This Row],[FBS over 120]]=0, "Normal", "High")</f>
        <v>Normal</v>
      </c>
      <c r="M40" s="1">
        <v>0</v>
      </c>
      <c r="N40" s="1" t="str">
        <f>IF(Table2[[#This Row],[EKG results]]=0, "Normal", "Abnormal")</f>
        <v>Normal</v>
      </c>
      <c r="O40" s="1">
        <v>150</v>
      </c>
      <c r="P40" s="1">
        <v>0</v>
      </c>
      <c r="Q40" s="1" t="str">
        <f>IF(Table2[[#This Row],[Exercise angina]]=0, "Normal", "Abnormal")</f>
        <v>Normal</v>
      </c>
      <c r="R40" s="1">
        <v>0</v>
      </c>
      <c r="S40" s="1">
        <v>1</v>
      </c>
      <c r="T40" s="1">
        <v>0</v>
      </c>
      <c r="U40" s="1">
        <v>3</v>
      </c>
      <c r="V40"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Not At Risk</v>
      </c>
      <c r="W40" s="1" t="s">
        <v>15</v>
      </c>
    </row>
    <row r="41" spans="1:23" x14ac:dyDescent="0.35">
      <c r="A41" s="1">
        <v>48</v>
      </c>
      <c r="B41" s="1" t="str">
        <f t="shared" si="0"/>
        <v>41-50</v>
      </c>
      <c r="C41" s="1">
        <v>1</v>
      </c>
      <c r="D41" s="1" t="str">
        <f>IF(Table2[[#This Row],[Sex]]=1,"Male", "Female")</f>
        <v>Male</v>
      </c>
      <c r="E41" s="1">
        <v>4</v>
      </c>
      <c r="F41" s="1" t="str">
        <f>IF(Table2[[#This Row],[Chest pain level]]=1, "Typical Angina", IF(Table2[[#This Row],[Chest pain level]]=2, "Atypical Angina", IF(Table2[[#This Row],[Chest pain level]]=3, "Non Anginal Pain", IF(Table2[[#This Row],[Chest pain level]]=4, "Asymptomatic"))))</f>
        <v>Asymptomatic</v>
      </c>
      <c r="G41" s="1">
        <v>122</v>
      </c>
      <c r="H41" s="1" t="str">
        <f>IF(Table2[[#This Row],[BP]]&lt;=120, "Normal",  IF(Table2[[#This Row],[BP]]&lt;=130, "Slightly Elevated", IF(Table2[[#This Row],[BP]]&lt;=140, "High", "Very High")))</f>
        <v>Slightly Elevated</v>
      </c>
      <c r="I41" s="1">
        <v>222</v>
      </c>
      <c r="J41" s="1" t="str">
        <f>IF(Table2[[#This Row],[Cholesterol]]&gt;=240, "High", "Normal")</f>
        <v>Normal</v>
      </c>
      <c r="K41" s="1">
        <v>0</v>
      </c>
      <c r="L41" s="1" t="str">
        <f>IF(Table2[[#This Row],[FBS over 120]]=0, "Normal", "High")</f>
        <v>Normal</v>
      </c>
      <c r="M41" s="1">
        <v>2</v>
      </c>
      <c r="N41" s="1" t="str">
        <f>IF(Table2[[#This Row],[EKG results]]=0, "Normal", "Abnormal")</f>
        <v>Abnormal</v>
      </c>
      <c r="O41" s="1">
        <v>186</v>
      </c>
      <c r="P41" s="1">
        <v>0</v>
      </c>
      <c r="Q41" s="1" t="str">
        <f>IF(Table2[[#This Row],[Exercise angina]]=0, "Normal", "Abnormal")</f>
        <v>Normal</v>
      </c>
      <c r="R41" s="1">
        <v>0</v>
      </c>
      <c r="S41" s="1">
        <v>1</v>
      </c>
      <c r="T41" s="1">
        <v>0</v>
      </c>
      <c r="U41" s="1">
        <v>3</v>
      </c>
      <c r="V41"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41" s="1" t="s">
        <v>15</v>
      </c>
    </row>
    <row r="42" spans="1:23" x14ac:dyDescent="0.35">
      <c r="A42" s="1">
        <v>40</v>
      </c>
      <c r="B42" s="1" t="str">
        <f t="shared" si="0"/>
        <v>31-40</v>
      </c>
      <c r="C42" s="1">
        <v>1</v>
      </c>
      <c r="D42" s="1" t="str">
        <f>IF(Table2[[#This Row],[Sex]]=1,"Male", "Female")</f>
        <v>Male</v>
      </c>
      <c r="E42" s="1">
        <v>4</v>
      </c>
      <c r="F42" s="1" t="str">
        <f>IF(Table2[[#This Row],[Chest pain level]]=1, "Typical Angina", IF(Table2[[#This Row],[Chest pain level]]=2, "Atypical Angina", IF(Table2[[#This Row],[Chest pain level]]=3, "Non Anginal Pain", IF(Table2[[#This Row],[Chest pain level]]=4, "Asymptomatic"))))</f>
        <v>Asymptomatic</v>
      </c>
      <c r="G42" s="1">
        <v>152</v>
      </c>
      <c r="H42" s="1" t="str">
        <f>IF(Table2[[#This Row],[BP]]&lt;=120, "Normal",  IF(Table2[[#This Row],[BP]]&lt;=130, "Slightly Elevated", IF(Table2[[#This Row],[BP]]&lt;=140, "High", "Very High")))</f>
        <v>Very High</v>
      </c>
      <c r="I42" s="1">
        <v>223</v>
      </c>
      <c r="J42" s="1" t="str">
        <f>IF(Table2[[#This Row],[Cholesterol]]&gt;=240, "High", "Normal")</f>
        <v>Normal</v>
      </c>
      <c r="K42" s="1">
        <v>0</v>
      </c>
      <c r="L42" s="1" t="str">
        <f>IF(Table2[[#This Row],[FBS over 120]]=0, "Normal", "High")</f>
        <v>Normal</v>
      </c>
      <c r="M42" s="1">
        <v>0</v>
      </c>
      <c r="N42" s="1" t="str">
        <f>IF(Table2[[#This Row],[EKG results]]=0, "Normal", "Abnormal")</f>
        <v>Normal</v>
      </c>
      <c r="O42" s="1">
        <v>181</v>
      </c>
      <c r="P42" s="1">
        <v>0</v>
      </c>
      <c r="Q42" s="1" t="str">
        <f>IF(Table2[[#This Row],[Exercise angina]]=0, "Normal", "Abnormal")</f>
        <v>Normal</v>
      </c>
      <c r="R42" s="1">
        <v>0</v>
      </c>
      <c r="S42" s="1">
        <v>1</v>
      </c>
      <c r="T42" s="1">
        <v>0</v>
      </c>
      <c r="U42" s="1">
        <v>7</v>
      </c>
      <c r="V42"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42" s="1" t="s">
        <v>14</v>
      </c>
    </row>
    <row r="43" spans="1:23" x14ac:dyDescent="0.35">
      <c r="A43" s="1">
        <v>62</v>
      </c>
      <c r="B43" s="1" t="str">
        <f t="shared" si="0"/>
        <v>61-70</v>
      </c>
      <c r="C43" s="1">
        <v>0</v>
      </c>
      <c r="D43" s="1" t="str">
        <f>IF(Table2[[#This Row],[Sex]]=1,"Male", "Female")</f>
        <v>Female</v>
      </c>
      <c r="E43" s="1">
        <v>4</v>
      </c>
      <c r="F43" s="1" t="str">
        <f>IF(Table2[[#This Row],[Chest pain level]]=1, "Typical Angina", IF(Table2[[#This Row],[Chest pain level]]=2, "Atypical Angina", IF(Table2[[#This Row],[Chest pain level]]=3, "Non Anginal Pain", IF(Table2[[#This Row],[Chest pain level]]=4, "Asymptomatic"))))</f>
        <v>Asymptomatic</v>
      </c>
      <c r="G43" s="1">
        <v>124</v>
      </c>
      <c r="H43" s="1" t="str">
        <f>IF(Table2[[#This Row],[BP]]&lt;=120, "Normal",  IF(Table2[[#This Row],[BP]]&lt;=130, "Slightly Elevated", IF(Table2[[#This Row],[BP]]&lt;=140, "High", "Very High")))</f>
        <v>Slightly Elevated</v>
      </c>
      <c r="I43" s="1">
        <v>209</v>
      </c>
      <c r="J43" s="1" t="str">
        <f>IF(Table2[[#This Row],[Cholesterol]]&gt;=240, "High", "Normal")</f>
        <v>Normal</v>
      </c>
      <c r="K43" s="1">
        <v>0</v>
      </c>
      <c r="L43" s="1" t="str">
        <f>IF(Table2[[#This Row],[FBS over 120]]=0, "Normal", "High")</f>
        <v>Normal</v>
      </c>
      <c r="M43" s="1">
        <v>0</v>
      </c>
      <c r="N43" s="1" t="str">
        <f>IF(Table2[[#This Row],[EKG results]]=0, "Normal", "Abnormal")</f>
        <v>Normal</v>
      </c>
      <c r="O43" s="1">
        <v>163</v>
      </c>
      <c r="P43" s="1">
        <v>0</v>
      </c>
      <c r="Q43" s="1" t="str">
        <f>IF(Table2[[#This Row],[Exercise angina]]=0, "Normal", "Abnormal")</f>
        <v>Normal</v>
      </c>
      <c r="R43" s="1">
        <v>0</v>
      </c>
      <c r="S43" s="1">
        <v>1</v>
      </c>
      <c r="T43" s="1">
        <v>0</v>
      </c>
      <c r="U43" s="1">
        <v>3</v>
      </c>
      <c r="V43"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Not At Risk</v>
      </c>
      <c r="W43" s="1" t="s">
        <v>15</v>
      </c>
    </row>
    <row r="44" spans="1:23" x14ac:dyDescent="0.35">
      <c r="A44" s="1">
        <v>44</v>
      </c>
      <c r="B44" s="1" t="str">
        <f t="shared" si="0"/>
        <v>41-50</v>
      </c>
      <c r="C44" s="1">
        <v>1</v>
      </c>
      <c r="D44" s="1" t="str">
        <f>IF(Table2[[#This Row],[Sex]]=1,"Male", "Female")</f>
        <v>Male</v>
      </c>
      <c r="E44" s="1">
        <v>3</v>
      </c>
      <c r="F44" s="1" t="str">
        <f>IF(Table2[[#This Row],[Chest pain level]]=1, "Typical Angina", IF(Table2[[#This Row],[Chest pain level]]=2, "Atypical Angina", IF(Table2[[#This Row],[Chest pain level]]=3, "Non Anginal Pain", IF(Table2[[#This Row],[Chest pain level]]=4, "Asymptomatic"))))</f>
        <v>Non Anginal Pain</v>
      </c>
      <c r="G44" s="1">
        <v>130</v>
      </c>
      <c r="H44" s="1" t="str">
        <f>IF(Table2[[#This Row],[BP]]&lt;=120, "Normal",  IF(Table2[[#This Row],[BP]]&lt;=130, "Slightly Elevated", IF(Table2[[#This Row],[BP]]&lt;=140, "High", "Very High")))</f>
        <v>Slightly Elevated</v>
      </c>
      <c r="I44" s="1">
        <v>233</v>
      </c>
      <c r="J44" s="1" t="str">
        <f>IF(Table2[[#This Row],[Cholesterol]]&gt;=240, "High", "Normal")</f>
        <v>Normal</v>
      </c>
      <c r="K44" s="1">
        <v>0</v>
      </c>
      <c r="L44" s="1" t="str">
        <f>IF(Table2[[#This Row],[FBS over 120]]=0, "Normal", "High")</f>
        <v>Normal</v>
      </c>
      <c r="M44" s="1">
        <v>0</v>
      </c>
      <c r="N44" s="1" t="str">
        <f>IF(Table2[[#This Row],[EKG results]]=0, "Normal", "Abnormal")</f>
        <v>Normal</v>
      </c>
      <c r="O44" s="1">
        <v>179</v>
      </c>
      <c r="P44" s="1">
        <v>1</v>
      </c>
      <c r="Q44" s="1" t="str">
        <f>IF(Table2[[#This Row],[Exercise angina]]=0, "Normal", "Abnormal")</f>
        <v>Abnormal</v>
      </c>
      <c r="R44" s="1">
        <v>0.4</v>
      </c>
      <c r="S44" s="1">
        <v>1</v>
      </c>
      <c r="T44" s="1">
        <v>0</v>
      </c>
      <c r="U44" s="1">
        <v>3</v>
      </c>
      <c r="V44"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44" s="1" t="s">
        <v>15</v>
      </c>
    </row>
    <row r="45" spans="1:23" x14ac:dyDescent="0.35">
      <c r="A45" s="1">
        <v>46</v>
      </c>
      <c r="B45" s="1" t="str">
        <f t="shared" si="0"/>
        <v>41-50</v>
      </c>
      <c r="C45" s="1">
        <v>1</v>
      </c>
      <c r="D45" s="1" t="str">
        <f>IF(Table2[[#This Row],[Sex]]=1,"Male", "Female")</f>
        <v>Male</v>
      </c>
      <c r="E45" s="1">
        <v>2</v>
      </c>
      <c r="F45" s="1" t="str">
        <f>IF(Table2[[#This Row],[Chest pain level]]=1, "Typical Angina", IF(Table2[[#This Row],[Chest pain level]]=2, "Atypical Angina", IF(Table2[[#This Row],[Chest pain level]]=3, "Non Anginal Pain", IF(Table2[[#This Row],[Chest pain level]]=4, "Asymptomatic"))))</f>
        <v>Atypical Angina</v>
      </c>
      <c r="G45" s="1">
        <v>101</v>
      </c>
      <c r="H45" s="1" t="str">
        <f>IF(Table2[[#This Row],[BP]]&lt;=120, "Normal",  IF(Table2[[#This Row],[BP]]&lt;=130, "Slightly Elevated", IF(Table2[[#This Row],[BP]]&lt;=140, "High", "Very High")))</f>
        <v>Normal</v>
      </c>
      <c r="I45" s="1">
        <v>197</v>
      </c>
      <c r="J45" s="1" t="str">
        <f>IF(Table2[[#This Row],[Cholesterol]]&gt;=240, "High", "Normal")</f>
        <v>Normal</v>
      </c>
      <c r="K45" s="1">
        <v>1</v>
      </c>
      <c r="L45" s="1" t="str">
        <f>IF(Table2[[#This Row],[FBS over 120]]=0, "Normal", "High")</f>
        <v>High</v>
      </c>
      <c r="M45" s="1">
        <v>0</v>
      </c>
      <c r="N45" s="1" t="str">
        <f>IF(Table2[[#This Row],[EKG results]]=0, "Normal", "Abnormal")</f>
        <v>Normal</v>
      </c>
      <c r="O45" s="1">
        <v>156</v>
      </c>
      <c r="P45" s="1">
        <v>0</v>
      </c>
      <c r="Q45" s="1" t="str">
        <f>IF(Table2[[#This Row],[Exercise angina]]=0, "Normal", "Abnormal")</f>
        <v>Normal</v>
      </c>
      <c r="R45" s="1">
        <v>0</v>
      </c>
      <c r="S45" s="1">
        <v>1</v>
      </c>
      <c r="T45" s="1">
        <v>0</v>
      </c>
      <c r="U45" s="1">
        <v>7</v>
      </c>
      <c r="V45"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45" s="1" t="s">
        <v>15</v>
      </c>
    </row>
    <row r="46" spans="1:23" x14ac:dyDescent="0.35">
      <c r="A46" s="1">
        <v>59</v>
      </c>
      <c r="B46" s="1" t="str">
        <f t="shared" si="0"/>
        <v>51-60</v>
      </c>
      <c r="C46" s="1">
        <v>1</v>
      </c>
      <c r="D46" s="1" t="str">
        <f>IF(Table2[[#This Row],[Sex]]=1,"Male", "Female")</f>
        <v>Male</v>
      </c>
      <c r="E46" s="1">
        <v>3</v>
      </c>
      <c r="F46" s="1" t="str">
        <f>IF(Table2[[#This Row],[Chest pain level]]=1, "Typical Angina", IF(Table2[[#This Row],[Chest pain level]]=2, "Atypical Angina", IF(Table2[[#This Row],[Chest pain level]]=3, "Non Anginal Pain", IF(Table2[[#This Row],[Chest pain level]]=4, "Asymptomatic"))))</f>
        <v>Non Anginal Pain</v>
      </c>
      <c r="G46" s="1">
        <v>126</v>
      </c>
      <c r="H46" s="1" t="str">
        <f>IF(Table2[[#This Row],[BP]]&lt;=120, "Normal",  IF(Table2[[#This Row],[BP]]&lt;=130, "Slightly Elevated", IF(Table2[[#This Row],[BP]]&lt;=140, "High", "Very High")))</f>
        <v>Slightly Elevated</v>
      </c>
      <c r="I46" s="1">
        <v>218</v>
      </c>
      <c r="J46" s="1" t="str">
        <f>IF(Table2[[#This Row],[Cholesterol]]&gt;=240, "High", "Normal")</f>
        <v>Normal</v>
      </c>
      <c r="K46" s="1">
        <v>1</v>
      </c>
      <c r="L46" s="1" t="str">
        <f>IF(Table2[[#This Row],[FBS over 120]]=0, "Normal", "High")</f>
        <v>High</v>
      </c>
      <c r="M46" s="1">
        <v>0</v>
      </c>
      <c r="N46" s="1" t="str">
        <f>IF(Table2[[#This Row],[EKG results]]=0, "Normal", "Abnormal")</f>
        <v>Normal</v>
      </c>
      <c r="O46" s="1">
        <v>134</v>
      </c>
      <c r="P46" s="1">
        <v>0</v>
      </c>
      <c r="Q46" s="1" t="str">
        <f>IF(Table2[[#This Row],[Exercise angina]]=0, "Normal", "Abnormal")</f>
        <v>Normal</v>
      </c>
      <c r="R46" s="1">
        <v>2.2000000000000002</v>
      </c>
      <c r="S46" s="1">
        <v>2</v>
      </c>
      <c r="T46" s="1">
        <v>1</v>
      </c>
      <c r="U46" s="1">
        <v>6</v>
      </c>
      <c r="V46"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46" s="1" t="s">
        <v>14</v>
      </c>
    </row>
    <row r="47" spans="1:23" x14ac:dyDescent="0.35">
      <c r="A47" s="1">
        <v>58</v>
      </c>
      <c r="B47" s="1" t="str">
        <f t="shared" si="0"/>
        <v>51-60</v>
      </c>
      <c r="C47" s="1">
        <v>1</v>
      </c>
      <c r="D47" s="1" t="str">
        <f>IF(Table2[[#This Row],[Sex]]=1,"Male", "Female")</f>
        <v>Male</v>
      </c>
      <c r="E47" s="1">
        <v>3</v>
      </c>
      <c r="F47" s="1" t="str">
        <f>IF(Table2[[#This Row],[Chest pain level]]=1, "Typical Angina", IF(Table2[[#This Row],[Chest pain level]]=2, "Atypical Angina", IF(Table2[[#This Row],[Chest pain level]]=3, "Non Anginal Pain", IF(Table2[[#This Row],[Chest pain level]]=4, "Asymptomatic"))))</f>
        <v>Non Anginal Pain</v>
      </c>
      <c r="G47" s="1">
        <v>140</v>
      </c>
      <c r="H47" s="1" t="str">
        <f>IF(Table2[[#This Row],[BP]]&lt;=120, "Normal",  IF(Table2[[#This Row],[BP]]&lt;=130, "Slightly Elevated", IF(Table2[[#This Row],[BP]]&lt;=140, "High", "Very High")))</f>
        <v>High</v>
      </c>
      <c r="I47" s="1">
        <v>211</v>
      </c>
      <c r="J47" s="1" t="str">
        <f>IF(Table2[[#This Row],[Cholesterol]]&gt;=240, "High", "Normal")</f>
        <v>Normal</v>
      </c>
      <c r="K47" s="1">
        <v>1</v>
      </c>
      <c r="L47" s="1" t="str">
        <f>IF(Table2[[#This Row],[FBS over 120]]=0, "Normal", "High")</f>
        <v>High</v>
      </c>
      <c r="M47" s="1">
        <v>2</v>
      </c>
      <c r="N47" s="1" t="str">
        <f>IF(Table2[[#This Row],[EKG results]]=0, "Normal", "Abnormal")</f>
        <v>Abnormal</v>
      </c>
      <c r="O47" s="1">
        <v>165</v>
      </c>
      <c r="P47" s="1">
        <v>0</v>
      </c>
      <c r="Q47" s="1" t="str">
        <f>IF(Table2[[#This Row],[Exercise angina]]=0, "Normal", "Abnormal")</f>
        <v>Normal</v>
      </c>
      <c r="R47" s="1">
        <v>0</v>
      </c>
      <c r="S47" s="1">
        <v>1</v>
      </c>
      <c r="T47" s="1">
        <v>0</v>
      </c>
      <c r="U47" s="1">
        <v>3</v>
      </c>
      <c r="V47"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47" s="1" t="s">
        <v>15</v>
      </c>
    </row>
    <row r="48" spans="1:23" x14ac:dyDescent="0.35">
      <c r="A48" s="1">
        <v>49</v>
      </c>
      <c r="B48" s="1" t="str">
        <f t="shared" si="0"/>
        <v>41-50</v>
      </c>
      <c r="C48" s="1">
        <v>1</v>
      </c>
      <c r="D48" s="1" t="str">
        <f>IF(Table2[[#This Row],[Sex]]=1,"Male", "Female")</f>
        <v>Male</v>
      </c>
      <c r="E48" s="1">
        <v>3</v>
      </c>
      <c r="F48" s="1" t="str">
        <f>IF(Table2[[#This Row],[Chest pain level]]=1, "Typical Angina", IF(Table2[[#This Row],[Chest pain level]]=2, "Atypical Angina", IF(Table2[[#This Row],[Chest pain level]]=3, "Non Anginal Pain", IF(Table2[[#This Row],[Chest pain level]]=4, "Asymptomatic"))))</f>
        <v>Non Anginal Pain</v>
      </c>
      <c r="G48" s="1">
        <v>118</v>
      </c>
      <c r="H48" s="1" t="str">
        <f>IF(Table2[[#This Row],[BP]]&lt;=120, "Normal",  IF(Table2[[#This Row],[BP]]&lt;=130, "Slightly Elevated", IF(Table2[[#This Row],[BP]]&lt;=140, "High", "Very High")))</f>
        <v>Normal</v>
      </c>
      <c r="I48" s="1">
        <v>149</v>
      </c>
      <c r="J48" s="1" t="str">
        <f>IF(Table2[[#This Row],[Cholesterol]]&gt;=240, "High", "Normal")</f>
        <v>Normal</v>
      </c>
      <c r="K48" s="1">
        <v>0</v>
      </c>
      <c r="L48" s="1" t="str">
        <f>IF(Table2[[#This Row],[FBS over 120]]=0, "Normal", "High")</f>
        <v>Normal</v>
      </c>
      <c r="M48" s="1">
        <v>2</v>
      </c>
      <c r="N48" s="1" t="str">
        <f>IF(Table2[[#This Row],[EKG results]]=0, "Normal", "Abnormal")</f>
        <v>Abnormal</v>
      </c>
      <c r="O48" s="1">
        <v>126</v>
      </c>
      <c r="P48" s="1">
        <v>0</v>
      </c>
      <c r="Q48" s="1" t="str">
        <f>IF(Table2[[#This Row],[Exercise angina]]=0, "Normal", "Abnormal")</f>
        <v>Normal</v>
      </c>
      <c r="R48" s="1">
        <v>0.8</v>
      </c>
      <c r="S48" s="1">
        <v>1</v>
      </c>
      <c r="T48" s="1">
        <v>3</v>
      </c>
      <c r="U48" s="1">
        <v>3</v>
      </c>
      <c r="V48"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48" s="1" t="s">
        <v>14</v>
      </c>
    </row>
    <row r="49" spans="1:23" x14ac:dyDescent="0.35">
      <c r="A49" s="1">
        <v>44</v>
      </c>
      <c r="B49" s="1" t="str">
        <f t="shared" si="0"/>
        <v>41-50</v>
      </c>
      <c r="C49" s="1">
        <v>1</v>
      </c>
      <c r="D49" s="1" t="str">
        <f>IF(Table2[[#This Row],[Sex]]=1,"Male", "Female")</f>
        <v>Male</v>
      </c>
      <c r="E49" s="1">
        <v>4</v>
      </c>
      <c r="F49" s="1" t="str">
        <f>IF(Table2[[#This Row],[Chest pain level]]=1, "Typical Angina", IF(Table2[[#This Row],[Chest pain level]]=2, "Atypical Angina", IF(Table2[[#This Row],[Chest pain level]]=3, "Non Anginal Pain", IF(Table2[[#This Row],[Chest pain level]]=4, "Asymptomatic"))))</f>
        <v>Asymptomatic</v>
      </c>
      <c r="G49" s="1">
        <v>110</v>
      </c>
      <c r="H49" s="1" t="str">
        <f>IF(Table2[[#This Row],[BP]]&lt;=120, "Normal",  IF(Table2[[#This Row],[BP]]&lt;=130, "Slightly Elevated", IF(Table2[[#This Row],[BP]]&lt;=140, "High", "Very High")))</f>
        <v>Normal</v>
      </c>
      <c r="I49" s="1">
        <v>197</v>
      </c>
      <c r="J49" s="1" t="str">
        <f>IF(Table2[[#This Row],[Cholesterol]]&gt;=240, "High", "Normal")</f>
        <v>Normal</v>
      </c>
      <c r="K49" s="1">
        <v>0</v>
      </c>
      <c r="L49" s="1" t="str">
        <f>IF(Table2[[#This Row],[FBS over 120]]=0, "Normal", "High")</f>
        <v>Normal</v>
      </c>
      <c r="M49" s="1">
        <v>2</v>
      </c>
      <c r="N49" s="1" t="str">
        <f>IF(Table2[[#This Row],[EKG results]]=0, "Normal", "Abnormal")</f>
        <v>Abnormal</v>
      </c>
      <c r="O49" s="1">
        <v>177</v>
      </c>
      <c r="P49" s="1">
        <v>0</v>
      </c>
      <c r="Q49" s="1" t="str">
        <f>IF(Table2[[#This Row],[Exercise angina]]=0, "Normal", "Abnormal")</f>
        <v>Normal</v>
      </c>
      <c r="R49" s="1">
        <v>0</v>
      </c>
      <c r="S49" s="1">
        <v>1</v>
      </c>
      <c r="T49" s="1">
        <v>1</v>
      </c>
      <c r="U49" s="1">
        <v>3</v>
      </c>
      <c r="V49"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49" s="1" t="s">
        <v>14</v>
      </c>
    </row>
    <row r="50" spans="1:23" x14ac:dyDescent="0.35">
      <c r="A50" s="1">
        <v>66</v>
      </c>
      <c r="B50" s="1" t="str">
        <f t="shared" si="0"/>
        <v>61-70</v>
      </c>
      <c r="C50" s="1">
        <v>1</v>
      </c>
      <c r="D50" s="1" t="str">
        <f>IF(Table2[[#This Row],[Sex]]=1,"Male", "Female")</f>
        <v>Male</v>
      </c>
      <c r="E50" s="1">
        <v>2</v>
      </c>
      <c r="F50" s="1" t="str">
        <f>IF(Table2[[#This Row],[Chest pain level]]=1, "Typical Angina", IF(Table2[[#This Row],[Chest pain level]]=2, "Atypical Angina", IF(Table2[[#This Row],[Chest pain level]]=3, "Non Anginal Pain", IF(Table2[[#This Row],[Chest pain level]]=4, "Asymptomatic"))))</f>
        <v>Atypical Angina</v>
      </c>
      <c r="G50" s="1">
        <v>160</v>
      </c>
      <c r="H50" s="1" t="str">
        <f>IF(Table2[[#This Row],[BP]]&lt;=120, "Normal",  IF(Table2[[#This Row],[BP]]&lt;=130, "Slightly Elevated", IF(Table2[[#This Row],[BP]]&lt;=140, "High", "Very High")))</f>
        <v>Very High</v>
      </c>
      <c r="I50" s="1">
        <v>246</v>
      </c>
      <c r="J50" s="1" t="str">
        <f>IF(Table2[[#This Row],[Cholesterol]]&gt;=240, "High", "Normal")</f>
        <v>High</v>
      </c>
      <c r="K50" s="1">
        <v>0</v>
      </c>
      <c r="L50" s="1" t="str">
        <f>IF(Table2[[#This Row],[FBS over 120]]=0, "Normal", "High")</f>
        <v>Normal</v>
      </c>
      <c r="M50" s="1">
        <v>0</v>
      </c>
      <c r="N50" s="1" t="str">
        <f>IF(Table2[[#This Row],[EKG results]]=0, "Normal", "Abnormal")</f>
        <v>Normal</v>
      </c>
      <c r="O50" s="1">
        <v>120</v>
      </c>
      <c r="P50" s="1">
        <v>1</v>
      </c>
      <c r="Q50" s="1" t="str">
        <f>IF(Table2[[#This Row],[Exercise angina]]=0, "Normal", "Abnormal")</f>
        <v>Abnormal</v>
      </c>
      <c r="R50" s="1">
        <v>0</v>
      </c>
      <c r="S50" s="1">
        <v>2</v>
      </c>
      <c r="T50" s="1">
        <v>3</v>
      </c>
      <c r="U50" s="1">
        <v>6</v>
      </c>
      <c r="V50"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50" s="1" t="s">
        <v>14</v>
      </c>
    </row>
    <row r="51" spans="1:23" x14ac:dyDescent="0.35">
      <c r="A51" s="1">
        <v>65</v>
      </c>
      <c r="B51" s="1" t="str">
        <f t="shared" si="0"/>
        <v>61-70</v>
      </c>
      <c r="C51" s="1">
        <v>0</v>
      </c>
      <c r="D51" s="1" t="str">
        <f>IF(Table2[[#This Row],[Sex]]=1,"Male", "Female")</f>
        <v>Female</v>
      </c>
      <c r="E51" s="1">
        <v>4</v>
      </c>
      <c r="F51" s="1" t="str">
        <f>IF(Table2[[#This Row],[Chest pain level]]=1, "Typical Angina", IF(Table2[[#This Row],[Chest pain level]]=2, "Atypical Angina", IF(Table2[[#This Row],[Chest pain level]]=3, "Non Anginal Pain", IF(Table2[[#This Row],[Chest pain level]]=4, "Asymptomatic"))))</f>
        <v>Asymptomatic</v>
      </c>
      <c r="G51" s="1">
        <v>150</v>
      </c>
      <c r="H51" s="1" t="str">
        <f>IF(Table2[[#This Row],[BP]]&lt;=120, "Normal",  IF(Table2[[#This Row],[BP]]&lt;=130, "Slightly Elevated", IF(Table2[[#This Row],[BP]]&lt;=140, "High", "Very High")))</f>
        <v>Very High</v>
      </c>
      <c r="I51" s="1">
        <v>225</v>
      </c>
      <c r="J51" s="1" t="str">
        <f>IF(Table2[[#This Row],[Cholesterol]]&gt;=240, "High", "Normal")</f>
        <v>Normal</v>
      </c>
      <c r="K51" s="1">
        <v>0</v>
      </c>
      <c r="L51" s="1" t="str">
        <f>IF(Table2[[#This Row],[FBS over 120]]=0, "Normal", "High")</f>
        <v>Normal</v>
      </c>
      <c r="M51" s="1">
        <v>2</v>
      </c>
      <c r="N51" s="1" t="str">
        <f>IF(Table2[[#This Row],[EKG results]]=0, "Normal", "Abnormal")</f>
        <v>Abnormal</v>
      </c>
      <c r="O51" s="1">
        <v>114</v>
      </c>
      <c r="P51" s="1">
        <v>0</v>
      </c>
      <c r="Q51" s="1" t="str">
        <f>IF(Table2[[#This Row],[Exercise angina]]=0, "Normal", "Abnormal")</f>
        <v>Normal</v>
      </c>
      <c r="R51" s="1">
        <v>1</v>
      </c>
      <c r="S51" s="1">
        <v>2</v>
      </c>
      <c r="T51" s="1">
        <v>3</v>
      </c>
      <c r="U51" s="1">
        <v>7</v>
      </c>
      <c r="V51"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51" s="1" t="s">
        <v>14</v>
      </c>
    </row>
    <row r="52" spans="1:23" x14ac:dyDescent="0.35">
      <c r="A52" s="1">
        <v>42</v>
      </c>
      <c r="B52" s="1" t="str">
        <f t="shared" si="0"/>
        <v>41-50</v>
      </c>
      <c r="C52" s="1">
        <v>1</v>
      </c>
      <c r="D52" s="1" t="str">
        <f>IF(Table2[[#This Row],[Sex]]=1,"Male", "Female")</f>
        <v>Male</v>
      </c>
      <c r="E52" s="1">
        <v>4</v>
      </c>
      <c r="F52" s="1" t="str">
        <f>IF(Table2[[#This Row],[Chest pain level]]=1, "Typical Angina", IF(Table2[[#This Row],[Chest pain level]]=2, "Atypical Angina", IF(Table2[[#This Row],[Chest pain level]]=3, "Non Anginal Pain", IF(Table2[[#This Row],[Chest pain level]]=4, "Asymptomatic"))))</f>
        <v>Asymptomatic</v>
      </c>
      <c r="G52" s="1">
        <v>136</v>
      </c>
      <c r="H52" s="1" t="str">
        <f>IF(Table2[[#This Row],[BP]]&lt;=120, "Normal",  IF(Table2[[#This Row],[BP]]&lt;=130, "Slightly Elevated", IF(Table2[[#This Row],[BP]]&lt;=140, "High", "Very High")))</f>
        <v>High</v>
      </c>
      <c r="I52" s="1">
        <v>315</v>
      </c>
      <c r="J52" s="1" t="str">
        <f>IF(Table2[[#This Row],[Cholesterol]]&gt;=240, "High", "Normal")</f>
        <v>High</v>
      </c>
      <c r="K52" s="1">
        <v>0</v>
      </c>
      <c r="L52" s="1" t="str">
        <f>IF(Table2[[#This Row],[FBS over 120]]=0, "Normal", "High")</f>
        <v>Normal</v>
      </c>
      <c r="M52" s="1">
        <v>0</v>
      </c>
      <c r="N52" s="1" t="str">
        <f>IF(Table2[[#This Row],[EKG results]]=0, "Normal", "Abnormal")</f>
        <v>Normal</v>
      </c>
      <c r="O52" s="1">
        <v>125</v>
      </c>
      <c r="P52" s="1">
        <v>1</v>
      </c>
      <c r="Q52" s="1" t="str">
        <f>IF(Table2[[#This Row],[Exercise angina]]=0, "Normal", "Abnormal")</f>
        <v>Abnormal</v>
      </c>
      <c r="R52" s="1">
        <v>1.8</v>
      </c>
      <c r="S52" s="1">
        <v>2</v>
      </c>
      <c r="T52" s="1">
        <v>0</v>
      </c>
      <c r="U52" s="1">
        <v>6</v>
      </c>
      <c r="V52"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52" s="1" t="s">
        <v>14</v>
      </c>
    </row>
    <row r="53" spans="1:23" x14ac:dyDescent="0.35">
      <c r="A53" s="1">
        <v>52</v>
      </c>
      <c r="B53" s="1" t="str">
        <f t="shared" si="0"/>
        <v>51-60</v>
      </c>
      <c r="C53" s="1">
        <v>1</v>
      </c>
      <c r="D53" s="1" t="str">
        <f>IF(Table2[[#This Row],[Sex]]=1,"Male", "Female")</f>
        <v>Male</v>
      </c>
      <c r="E53" s="1">
        <v>2</v>
      </c>
      <c r="F53" s="1" t="str">
        <f>IF(Table2[[#This Row],[Chest pain level]]=1, "Typical Angina", IF(Table2[[#This Row],[Chest pain level]]=2, "Atypical Angina", IF(Table2[[#This Row],[Chest pain level]]=3, "Non Anginal Pain", IF(Table2[[#This Row],[Chest pain level]]=4, "Asymptomatic"))))</f>
        <v>Atypical Angina</v>
      </c>
      <c r="G53" s="1">
        <v>128</v>
      </c>
      <c r="H53" s="1" t="str">
        <f>IF(Table2[[#This Row],[BP]]&lt;=120, "Normal",  IF(Table2[[#This Row],[BP]]&lt;=130, "Slightly Elevated", IF(Table2[[#This Row],[BP]]&lt;=140, "High", "Very High")))</f>
        <v>Slightly Elevated</v>
      </c>
      <c r="I53" s="1">
        <v>205</v>
      </c>
      <c r="J53" s="1" t="str">
        <f>IF(Table2[[#This Row],[Cholesterol]]&gt;=240, "High", "Normal")</f>
        <v>Normal</v>
      </c>
      <c r="K53" s="1">
        <v>1</v>
      </c>
      <c r="L53" s="1" t="str">
        <f>IF(Table2[[#This Row],[FBS over 120]]=0, "Normal", "High")</f>
        <v>High</v>
      </c>
      <c r="M53" s="1">
        <v>0</v>
      </c>
      <c r="N53" s="1" t="str">
        <f>IF(Table2[[#This Row],[EKG results]]=0, "Normal", "Abnormal")</f>
        <v>Normal</v>
      </c>
      <c r="O53" s="1">
        <v>184</v>
      </c>
      <c r="P53" s="1">
        <v>0</v>
      </c>
      <c r="Q53" s="1" t="str">
        <f>IF(Table2[[#This Row],[Exercise angina]]=0, "Normal", "Abnormal")</f>
        <v>Normal</v>
      </c>
      <c r="R53" s="1">
        <v>0</v>
      </c>
      <c r="S53" s="1">
        <v>1</v>
      </c>
      <c r="T53" s="1">
        <v>0</v>
      </c>
      <c r="U53" s="1">
        <v>3</v>
      </c>
      <c r="V53"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53" s="1" t="s">
        <v>15</v>
      </c>
    </row>
    <row r="54" spans="1:23" x14ac:dyDescent="0.35">
      <c r="A54" s="1">
        <v>65</v>
      </c>
      <c r="B54" s="1" t="str">
        <f t="shared" si="0"/>
        <v>61-70</v>
      </c>
      <c r="C54" s="1">
        <v>0</v>
      </c>
      <c r="D54" s="1" t="str">
        <f>IF(Table2[[#This Row],[Sex]]=1,"Male", "Female")</f>
        <v>Female</v>
      </c>
      <c r="E54" s="1">
        <v>3</v>
      </c>
      <c r="F54" s="1" t="str">
        <f>IF(Table2[[#This Row],[Chest pain level]]=1, "Typical Angina", IF(Table2[[#This Row],[Chest pain level]]=2, "Atypical Angina", IF(Table2[[#This Row],[Chest pain level]]=3, "Non Anginal Pain", IF(Table2[[#This Row],[Chest pain level]]=4, "Asymptomatic"))))</f>
        <v>Non Anginal Pain</v>
      </c>
      <c r="G54" s="1">
        <v>140</v>
      </c>
      <c r="H54" s="1" t="str">
        <f>IF(Table2[[#This Row],[BP]]&lt;=120, "Normal",  IF(Table2[[#This Row],[BP]]&lt;=130, "Slightly Elevated", IF(Table2[[#This Row],[BP]]&lt;=140, "High", "Very High")))</f>
        <v>High</v>
      </c>
      <c r="I54" s="1">
        <v>417</v>
      </c>
      <c r="J54" s="1" t="str">
        <f>IF(Table2[[#This Row],[Cholesterol]]&gt;=240, "High", "Normal")</f>
        <v>High</v>
      </c>
      <c r="K54" s="1">
        <v>1</v>
      </c>
      <c r="L54" s="1" t="str">
        <f>IF(Table2[[#This Row],[FBS over 120]]=0, "Normal", "High")</f>
        <v>High</v>
      </c>
      <c r="M54" s="1">
        <v>2</v>
      </c>
      <c r="N54" s="1" t="str">
        <f>IF(Table2[[#This Row],[EKG results]]=0, "Normal", "Abnormal")</f>
        <v>Abnormal</v>
      </c>
      <c r="O54" s="1">
        <v>157</v>
      </c>
      <c r="P54" s="1">
        <v>0</v>
      </c>
      <c r="Q54" s="1" t="str">
        <f>IF(Table2[[#This Row],[Exercise angina]]=0, "Normal", "Abnormal")</f>
        <v>Normal</v>
      </c>
      <c r="R54" s="1">
        <v>0.8</v>
      </c>
      <c r="S54" s="1">
        <v>1</v>
      </c>
      <c r="T54" s="1">
        <v>1</v>
      </c>
      <c r="U54" s="1">
        <v>3</v>
      </c>
      <c r="V54"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54" s="1" t="s">
        <v>15</v>
      </c>
    </row>
    <row r="55" spans="1:23" x14ac:dyDescent="0.35">
      <c r="A55" s="1">
        <v>63</v>
      </c>
      <c r="B55" s="1" t="str">
        <f t="shared" si="0"/>
        <v>61-70</v>
      </c>
      <c r="C55" s="1">
        <v>0</v>
      </c>
      <c r="D55" s="1" t="str">
        <f>IF(Table2[[#This Row],[Sex]]=1,"Male", "Female")</f>
        <v>Female</v>
      </c>
      <c r="E55" s="1">
        <v>2</v>
      </c>
      <c r="F55" s="1" t="str">
        <f>IF(Table2[[#This Row],[Chest pain level]]=1, "Typical Angina", IF(Table2[[#This Row],[Chest pain level]]=2, "Atypical Angina", IF(Table2[[#This Row],[Chest pain level]]=3, "Non Anginal Pain", IF(Table2[[#This Row],[Chest pain level]]=4, "Asymptomatic"))))</f>
        <v>Atypical Angina</v>
      </c>
      <c r="G55" s="1">
        <v>140</v>
      </c>
      <c r="H55" s="1" t="str">
        <f>IF(Table2[[#This Row],[BP]]&lt;=120, "Normal",  IF(Table2[[#This Row],[BP]]&lt;=130, "Slightly Elevated", IF(Table2[[#This Row],[BP]]&lt;=140, "High", "Very High")))</f>
        <v>High</v>
      </c>
      <c r="I55" s="1">
        <v>195</v>
      </c>
      <c r="J55" s="1" t="str">
        <f>IF(Table2[[#This Row],[Cholesterol]]&gt;=240, "High", "Normal")</f>
        <v>Normal</v>
      </c>
      <c r="K55" s="1">
        <v>0</v>
      </c>
      <c r="L55" s="1" t="str">
        <f>IF(Table2[[#This Row],[FBS over 120]]=0, "Normal", "High")</f>
        <v>Normal</v>
      </c>
      <c r="M55" s="1">
        <v>0</v>
      </c>
      <c r="N55" s="1" t="str">
        <f>IF(Table2[[#This Row],[EKG results]]=0, "Normal", "Abnormal")</f>
        <v>Normal</v>
      </c>
      <c r="O55" s="1">
        <v>179</v>
      </c>
      <c r="P55" s="1">
        <v>0</v>
      </c>
      <c r="Q55" s="1" t="str">
        <f>IF(Table2[[#This Row],[Exercise angina]]=0, "Normal", "Abnormal")</f>
        <v>Normal</v>
      </c>
      <c r="R55" s="1">
        <v>0</v>
      </c>
      <c r="S55" s="1">
        <v>1</v>
      </c>
      <c r="T55" s="1">
        <v>2</v>
      </c>
      <c r="U55" s="1">
        <v>3</v>
      </c>
      <c r="V55"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55" s="1" t="s">
        <v>15</v>
      </c>
    </row>
    <row r="56" spans="1:23" x14ac:dyDescent="0.35">
      <c r="A56" s="1">
        <v>45</v>
      </c>
      <c r="B56" s="1" t="str">
        <f t="shared" si="0"/>
        <v>41-50</v>
      </c>
      <c r="C56" s="1">
        <v>0</v>
      </c>
      <c r="D56" s="1" t="str">
        <f>IF(Table2[[#This Row],[Sex]]=1,"Male", "Female")</f>
        <v>Female</v>
      </c>
      <c r="E56" s="1">
        <v>2</v>
      </c>
      <c r="F56" s="1" t="str">
        <f>IF(Table2[[#This Row],[Chest pain level]]=1, "Typical Angina", IF(Table2[[#This Row],[Chest pain level]]=2, "Atypical Angina", IF(Table2[[#This Row],[Chest pain level]]=3, "Non Anginal Pain", IF(Table2[[#This Row],[Chest pain level]]=4, "Asymptomatic"))))</f>
        <v>Atypical Angina</v>
      </c>
      <c r="G56" s="1">
        <v>130</v>
      </c>
      <c r="H56" s="1" t="str">
        <f>IF(Table2[[#This Row],[BP]]&lt;=120, "Normal",  IF(Table2[[#This Row],[BP]]&lt;=130, "Slightly Elevated", IF(Table2[[#This Row],[BP]]&lt;=140, "High", "Very High")))</f>
        <v>Slightly Elevated</v>
      </c>
      <c r="I56" s="1">
        <v>234</v>
      </c>
      <c r="J56" s="1" t="str">
        <f>IF(Table2[[#This Row],[Cholesterol]]&gt;=240, "High", "Normal")</f>
        <v>Normal</v>
      </c>
      <c r="K56" s="1">
        <v>0</v>
      </c>
      <c r="L56" s="1" t="str">
        <f>IF(Table2[[#This Row],[FBS over 120]]=0, "Normal", "High")</f>
        <v>Normal</v>
      </c>
      <c r="M56" s="1">
        <v>2</v>
      </c>
      <c r="N56" s="1" t="str">
        <f>IF(Table2[[#This Row],[EKG results]]=0, "Normal", "Abnormal")</f>
        <v>Abnormal</v>
      </c>
      <c r="O56" s="1">
        <v>175</v>
      </c>
      <c r="P56" s="1">
        <v>0</v>
      </c>
      <c r="Q56" s="1" t="str">
        <f>IF(Table2[[#This Row],[Exercise angina]]=0, "Normal", "Abnormal")</f>
        <v>Normal</v>
      </c>
      <c r="R56" s="1">
        <v>0.6</v>
      </c>
      <c r="S56" s="1">
        <v>2</v>
      </c>
      <c r="T56" s="1">
        <v>0</v>
      </c>
      <c r="U56" s="1">
        <v>3</v>
      </c>
      <c r="V56"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56" s="1" t="s">
        <v>15</v>
      </c>
    </row>
    <row r="57" spans="1:23" x14ac:dyDescent="0.35">
      <c r="A57" s="1">
        <v>41</v>
      </c>
      <c r="B57" s="1" t="str">
        <f t="shared" si="0"/>
        <v>41-50</v>
      </c>
      <c r="C57" s="1">
        <v>0</v>
      </c>
      <c r="D57" s="1" t="str">
        <f>IF(Table2[[#This Row],[Sex]]=1,"Male", "Female")</f>
        <v>Female</v>
      </c>
      <c r="E57" s="1">
        <v>2</v>
      </c>
      <c r="F57" s="1" t="str">
        <f>IF(Table2[[#This Row],[Chest pain level]]=1, "Typical Angina", IF(Table2[[#This Row],[Chest pain level]]=2, "Atypical Angina", IF(Table2[[#This Row],[Chest pain level]]=3, "Non Anginal Pain", IF(Table2[[#This Row],[Chest pain level]]=4, "Asymptomatic"))))</f>
        <v>Atypical Angina</v>
      </c>
      <c r="G57" s="1">
        <v>105</v>
      </c>
      <c r="H57" s="1" t="str">
        <f>IF(Table2[[#This Row],[BP]]&lt;=120, "Normal",  IF(Table2[[#This Row],[BP]]&lt;=130, "Slightly Elevated", IF(Table2[[#This Row],[BP]]&lt;=140, "High", "Very High")))</f>
        <v>Normal</v>
      </c>
      <c r="I57" s="1">
        <v>198</v>
      </c>
      <c r="J57" s="1" t="str">
        <f>IF(Table2[[#This Row],[Cholesterol]]&gt;=240, "High", "Normal")</f>
        <v>Normal</v>
      </c>
      <c r="K57" s="1">
        <v>0</v>
      </c>
      <c r="L57" s="1" t="str">
        <f>IF(Table2[[#This Row],[FBS over 120]]=0, "Normal", "High")</f>
        <v>Normal</v>
      </c>
      <c r="M57" s="1">
        <v>0</v>
      </c>
      <c r="N57" s="1" t="str">
        <f>IF(Table2[[#This Row],[EKG results]]=0, "Normal", "Abnormal")</f>
        <v>Normal</v>
      </c>
      <c r="O57" s="1">
        <v>168</v>
      </c>
      <c r="P57" s="1">
        <v>0</v>
      </c>
      <c r="Q57" s="1" t="str">
        <f>IF(Table2[[#This Row],[Exercise angina]]=0, "Normal", "Abnormal")</f>
        <v>Normal</v>
      </c>
      <c r="R57" s="1">
        <v>0</v>
      </c>
      <c r="S57" s="1">
        <v>1</v>
      </c>
      <c r="T57" s="1">
        <v>1</v>
      </c>
      <c r="U57" s="1">
        <v>3</v>
      </c>
      <c r="V57"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57" s="1" t="s">
        <v>15</v>
      </c>
    </row>
    <row r="58" spans="1:23" x14ac:dyDescent="0.35">
      <c r="A58" s="1">
        <v>61</v>
      </c>
      <c r="B58" s="1" t="str">
        <f t="shared" si="0"/>
        <v>61-70</v>
      </c>
      <c r="C58" s="1">
        <v>1</v>
      </c>
      <c r="D58" s="1" t="str">
        <f>IF(Table2[[#This Row],[Sex]]=1,"Male", "Female")</f>
        <v>Male</v>
      </c>
      <c r="E58" s="1">
        <v>4</v>
      </c>
      <c r="F58" s="1" t="str">
        <f>IF(Table2[[#This Row],[Chest pain level]]=1, "Typical Angina", IF(Table2[[#This Row],[Chest pain level]]=2, "Atypical Angina", IF(Table2[[#This Row],[Chest pain level]]=3, "Non Anginal Pain", IF(Table2[[#This Row],[Chest pain level]]=4, "Asymptomatic"))))</f>
        <v>Asymptomatic</v>
      </c>
      <c r="G58" s="1">
        <v>138</v>
      </c>
      <c r="H58" s="1" t="str">
        <f>IF(Table2[[#This Row],[BP]]&lt;=120, "Normal",  IF(Table2[[#This Row],[BP]]&lt;=130, "Slightly Elevated", IF(Table2[[#This Row],[BP]]&lt;=140, "High", "Very High")))</f>
        <v>High</v>
      </c>
      <c r="I58" s="1">
        <v>166</v>
      </c>
      <c r="J58" s="1" t="str">
        <f>IF(Table2[[#This Row],[Cholesterol]]&gt;=240, "High", "Normal")</f>
        <v>Normal</v>
      </c>
      <c r="K58" s="1">
        <v>0</v>
      </c>
      <c r="L58" s="1" t="str">
        <f>IF(Table2[[#This Row],[FBS over 120]]=0, "Normal", "High")</f>
        <v>Normal</v>
      </c>
      <c r="M58" s="1">
        <v>2</v>
      </c>
      <c r="N58" s="1" t="str">
        <f>IF(Table2[[#This Row],[EKG results]]=0, "Normal", "Abnormal")</f>
        <v>Abnormal</v>
      </c>
      <c r="O58" s="1">
        <v>125</v>
      </c>
      <c r="P58" s="1">
        <v>1</v>
      </c>
      <c r="Q58" s="1" t="str">
        <f>IF(Table2[[#This Row],[Exercise angina]]=0, "Normal", "Abnormal")</f>
        <v>Abnormal</v>
      </c>
      <c r="R58" s="1">
        <v>3.6</v>
      </c>
      <c r="S58" s="1">
        <v>2</v>
      </c>
      <c r="T58" s="1">
        <v>1</v>
      </c>
      <c r="U58" s="1">
        <v>3</v>
      </c>
      <c r="V58"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58" s="1" t="s">
        <v>14</v>
      </c>
    </row>
    <row r="59" spans="1:23" x14ac:dyDescent="0.35">
      <c r="A59" s="1">
        <v>60</v>
      </c>
      <c r="B59" s="1" t="str">
        <f t="shared" si="0"/>
        <v>51-60</v>
      </c>
      <c r="C59" s="1">
        <v>0</v>
      </c>
      <c r="D59" s="1" t="str">
        <f>IF(Table2[[#This Row],[Sex]]=1,"Male", "Female")</f>
        <v>Female</v>
      </c>
      <c r="E59" s="1">
        <v>3</v>
      </c>
      <c r="F59" s="1" t="str">
        <f>IF(Table2[[#This Row],[Chest pain level]]=1, "Typical Angina", IF(Table2[[#This Row],[Chest pain level]]=2, "Atypical Angina", IF(Table2[[#This Row],[Chest pain level]]=3, "Non Anginal Pain", IF(Table2[[#This Row],[Chest pain level]]=4, "Asymptomatic"))))</f>
        <v>Non Anginal Pain</v>
      </c>
      <c r="G59" s="1">
        <v>120</v>
      </c>
      <c r="H59" s="1" t="str">
        <f>IF(Table2[[#This Row],[BP]]&lt;=120, "Normal",  IF(Table2[[#This Row],[BP]]&lt;=130, "Slightly Elevated", IF(Table2[[#This Row],[BP]]&lt;=140, "High", "Very High")))</f>
        <v>Normal</v>
      </c>
      <c r="I59" s="1">
        <v>178</v>
      </c>
      <c r="J59" s="1" t="str">
        <f>IF(Table2[[#This Row],[Cholesterol]]&gt;=240, "High", "Normal")</f>
        <v>Normal</v>
      </c>
      <c r="K59" s="1">
        <v>1</v>
      </c>
      <c r="L59" s="1" t="str">
        <f>IF(Table2[[#This Row],[FBS over 120]]=0, "Normal", "High")</f>
        <v>High</v>
      </c>
      <c r="M59" s="1">
        <v>0</v>
      </c>
      <c r="N59" s="1" t="str">
        <f>IF(Table2[[#This Row],[EKG results]]=0, "Normal", "Abnormal")</f>
        <v>Normal</v>
      </c>
      <c r="O59" s="1">
        <v>96</v>
      </c>
      <c r="P59" s="1">
        <v>0</v>
      </c>
      <c r="Q59" s="1" t="str">
        <f>IF(Table2[[#This Row],[Exercise angina]]=0, "Normal", "Abnormal")</f>
        <v>Normal</v>
      </c>
      <c r="R59" s="1">
        <v>0</v>
      </c>
      <c r="S59" s="1">
        <v>1</v>
      </c>
      <c r="T59" s="1">
        <v>0</v>
      </c>
      <c r="U59" s="1">
        <v>3</v>
      </c>
      <c r="V59"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59" s="1" t="s">
        <v>15</v>
      </c>
    </row>
    <row r="60" spans="1:23" x14ac:dyDescent="0.35">
      <c r="A60" s="1">
        <v>59</v>
      </c>
      <c r="B60" s="1" t="str">
        <f t="shared" si="0"/>
        <v>51-60</v>
      </c>
      <c r="C60" s="1">
        <v>0</v>
      </c>
      <c r="D60" s="1" t="str">
        <f>IF(Table2[[#This Row],[Sex]]=1,"Male", "Female")</f>
        <v>Female</v>
      </c>
      <c r="E60" s="1">
        <v>4</v>
      </c>
      <c r="F60" s="1" t="str">
        <f>IF(Table2[[#This Row],[Chest pain level]]=1, "Typical Angina", IF(Table2[[#This Row],[Chest pain level]]=2, "Atypical Angina", IF(Table2[[#This Row],[Chest pain level]]=3, "Non Anginal Pain", IF(Table2[[#This Row],[Chest pain level]]=4, "Asymptomatic"))))</f>
        <v>Asymptomatic</v>
      </c>
      <c r="G60" s="1">
        <v>174</v>
      </c>
      <c r="H60" s="1" t="str">
        <f>IF(Table2[[#This Row],[BP]]&lt;=120, "Normal",  IF(Table2[[#This Row],[BP]]&lt;=130, "Slightly Elevated", IF(Table2[[#This Row],[BP]]&lt;=140, "High", "Very High")))</f>
        <v>Very High</v>
      </c>
      <c r="I60" s="1">
        <v>249</v>
      </c>
      <c r="J60" s="1" t="str">
        <f>IF(Table2[[#This Row],[Cholesterol]]&gt;=240, "High", "Normal")</f>
        <v>High</v>
      </c>
      <c r="K60" s="1">
        <v>0</v>
      </c>
      <c r="L60" s="1" t="str">
        <f>IF(Table2[[#This Row],[FBS over 120]]=0, "Normal", "High")</f>
        <v>Normal</v>
      </c>
      <c r="M60" s="1">
        <v>0</v>
      </c>
      <c r="N60" s="1" t="str">
        <f>IF(Table2[[#This Row],[EKG results]]=0, "Normal", "Abnormal")</f>
        <v>Normal</v>
      </c>
      <c r="O60" s="1">
        <v>143</v>
      </c>
      <c r="P60" s="1">
        <v>1</v>
      </c>
      <c r="Q60" s="1" t="str">
        <f>IF(Table2[[#This Row],[Exercise angina]]=0, "Normal", "Abnormal")</f>
        <v>Abnormal</v>
      </c>
      <c r="R60" s="1">
        <v>0</v>
      </c>
      <c r="S60" s="1">
        <v>2</v>
      </c>
      <c r="T60" s="1">
        <v>0</v>
      </c>
      <c r="U60" s="1">
        <v>3</v>
      </c>
      <c r="V60"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60" s="1" t="s">
        <v>14</v>
      </c>
    </row>
    <row r="61" spans="1:23" x14ac:dyDescent="0.35">
      <c r="A61" s="1">
        <v>62</v>
      </c>
      <c r="B61" s="1" t="str">
        <f t="shared" si="0"/>
        <v>61-70</v>
      </c>
      <c r="C61" s="1">
        <v>1</v>
      </c>
      <c r="D61" s="1" t="str">
        <f>IF(Table2[[#This Row],[Sex]]=1,"Male", "Female")</f>
        <v>Male</v>
      </c>
      <c r="E61" s="1">
        <v>2</v>
      </c>
      <c r="F61" s="1" t="str">
        <f>IF(Table2[[#This Row],[Chest pain level]]=1, "Typical Angina", IF(Table2[[#This Row],[Chest pain level]]=2, "Atypical Angina", IF(Table2[[#This Row],[Chest pain level]]=3, "Non Anginal Pain", IF(Table2[[#This Row],[Chest pain level]]=4, "Asymptomatic"))))</f>
        <v>Atypical Angina</v>
      </c>
      <c r="G61" s="1">
        <v>120</v>
      </c>
      <c r="H61" s="1" t="str">
        <f>IF(Table2[[#This Row],[BP]]&lt;=120, "Normal",  IF(Table2[[#This Row],[BP]]&lt;=130, "Slightly Elevated", IF(Table2[[#This Row],[BP]]&lt;=140, "High", "Very High")))</f>
        <v>Normal</v>
      </c>
      <c r="I61" s="1">
        <v>281</v>
      </c>
      <c r="J61" s="1" t="str">
        <f>IF(Table2[[#This Row],[Cholesterol]]&gt;=240, "High", "Normal")</f>
        <v>High</v>
      </c>
      <c r="K61" s="1">
        <v>0</v>
      </c>
      <c r="L61" s="1" t="str">
        <f>IF(Table2[[#This Row],[FBS over 120]]=0, "Normal", "High")</f>
        <v>Normal</v>
      </c>
      <c r="M61" s="1">
        <v>2</v>
      </c>
      <c r="N61" s="1" t="str">
        <f>IF(Table2[[#This Row],[EKG results]]=0, "Normal", "Abnormal")</f>
        <v>Abnormal</v>
      </c>
      <c r="O61" s="1">
        <v>103</v>
      </c>
      <c r="P61" s="1">
        <v>0</v>
      </c>
      <c r="Q61" s="1" t="str">
        <f>IF(Table2[[#This Row],[Exercise angina]]=0, "Normal", "Abnormal")</f>
        <v>Normal</v>
      </c>
      <c r="R61" s="1">
        <v>1.4</v>
      </c>
      <c r="S61" s="1">
        <v>2</v>
      </c>
      <c r="T61" s="1">
        <v>1</v>
      </c>
      <c r="U61" s="1">
        <v>7</v>
      </c>
      <c r="V61"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61" s="1" t="s">
        <v>14</v>
      </c>
    </row>
    <row r="62" spans="1:23" x14ac:dyDescent="0.35">
      <c r="A62" s="1">
        <v>57</v>
      </c>
      <c r="B62" s="1" t="str">
        <f t="shared" si="0"/>
        <v>51-60</v>
      </c>
      <c r="C62" s="1">
        <v>1</v>
      </c>
      <c r="D62" s="1" t="str">
        <f>IF(Table2[[#This Row],[Sex]]=1,"Male", "Female")</f>
        <v>Male</v>
      </c>
      <c r="E62" s="1">
        <v>3</v>
      </c>
      <c r="F62" s="1" t="str">
        <f>IF(Table2[[#This Row],[Chest pain level]]=1, "Typical Angina", IF(Table2[[#This Row],[Chest pain level]]=2, "Atypical Angina", IF(Table2[[#This Row],[Chest pain level]]=3, "Non Anginal Pain", IF(Table2[[#This Row],[Chest pain level]]=4, "Asymptomatic"))))</f>
        <v>Non Anginal Pain</v>
      </c>
      <c r="G62" s="1">
        <v>150</v>
      </c>
      <c r="H62" s="1" t="str">
        <f>IF(Table2[[#This Row],[BP]]&lt;=120, "Normal",  IF(Table2[[#This Row],[BP]]&lt;=130, "Slightly Elevated", IF(Table2[[#This Row],[BP]]&lt;=140, "High", "Very High")))</f>
        <v>Very High</v>
      </c>
      <c r="I62" s="1">
        <v>126</v>
      </c>
      <c r="J62" s="1" t="str">
        <f>IF(Table2[[#This Row],[Cholesterol]]&gt;=240, "High", "Normal")</f>
        <v>Normal</v>
      </c>
      <c r="K62" s="1">
        <v>1</v>
      </c>
      <c r="L62" s="1" t="str">
        <f>IF(Table2[[#This Row],[FBS over 120]]=0, "Normal", "High")</f>
        <v>High</v>
      </c>
      <c r="M62" s="1">
        <v>0</v>
      </c>
      <c r="N62" s="1" t="str">
        <f>IF(Table2[[#This Row],[EKG results]]=0, "Normal", "Abnormal")</f>
        <v>Normal</v>
      </c>
      <c r="O62" s="1">
        <v>173</v>
      </c>
      <c r="P62" s="1">
        <v>0</v>
      </c>
      <c r="Q62" s="1" t="str">
        <f>IF(Table2[[#This Row],[Exercise angina]]=0, "Normal", "Abnormal")</f>
        <v>Normal</v>
      </c>
      <c r="R62" s="1">
        <v>0.2</v>
      </c>
      <c r="S62" s="1">
        <v>1</v>
      </c>
      <c r="T62" s="1">
        <v>1</v>
      </c>
      <c r="U62" s="1">
        <v>7</v>
      </c>
      <c r="V62"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62" s="1" t="s">
        <v>15</v>
      </c>
    </row>
    <row r="63" spans="1:23" x14ac:dyDescent="0.35">
      <c r="A63" s="1">
        <v>51</v>
      </c>
      <c r="B63" s="1" t="str">
        <f t="shared" si="0"/>
        <v>51-60</v>
      </c>
      <c r="C63" s="1">
        <v>0</v>
      </c>
      <c r="D63" s="1" t="str">
        <f>IF(Table2[[#This Row],[Sex]]=1,"Male", "Female")</f>
        <v>Female</v>
      </c>
      <c r="E63" s="1">
        <v>4</v>
      </c>
      <c r="F63" s="1" t="str">
        <f>IF(Table2[[#This Row],[Chest pain level]]=1, "Typical Angina", IF(Table2[[#This Row],[Chest pain level]]=2, "Atypical Angina", IF(Table2[[#This Row],[Chest pain level]]=3, "Non Anginal Pain", IF(Table2[[#This Row],[Chest pain level]]=4, "Asymptomatic"))))</f>
        <v>Asymptomatic</v>
      </c>
      <c r="G63" s="1">
        <v>130</v>
      </c>
      <c r="H63" s="1" t="str">
        <f>IF(Table2[[#This Row],[BP]]&lt;=120, "Normal",  IF(Table2[[#This Row],[BP]]&lt;=130, "Slightly Elevated", IF(Table2[[#This Row],[BP]]&lt;=140, "High", "Very High")))</f>
        <v>Slightly Elevated</v>
      </c>
      <c r="I63" s="1">
        <v>305</v>
      </c>
      <c r="J63" s="1" t="str">
        <f>IF(Table2[[#This Row],[Cholesterol]]&gt;=240, "High", "Normal")</f>
        <v>High</v>
      </c>
      <c r="K63" s="1">
        <v>0</v>
      </c>
      <c r="L63" s="1" t="str">
        <f>IF(Table2[[#This Row],[FBS over 120]]=0, "Normal", "High")</f>
        <v>Normal</v>
      </c>
      <c r="M63" s="1">
        <v>0</v>
      </c>
      <c r="N63" s="1" t="str">
        <f>IF(Table2[[#This Row],[EKG results]]=0, "Normal", "Abnormal")</f>
        <v>Normal</v>
      </c>
      <c r="O63" s="1">
        <v>142</v>
      </c>
      <c r="P63" s="1">
        <v>1</v>
      </c>
      <c r="Q63" s="1" t="str">
        <f>IF(Table2[[#This Row],[Exercise angina]]=0, "Normal", "Abnormal")</f>
        <v>Abnormal</v>
      </c>
      <c r="R63" s="1">
        <v>1.2</v>
      </c>
      <c r="S63" s="1">
        <v>2</v>
      </c>
      <c r="T63" s="1">
        <v>0</v>
      </c>
      <c r="U63" s="1">
        <v>7</v>
      </c>
      <c r="V63"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63" s="1" t="s">
        <v>14</v>
      </c>
    </row>
    <row r="64" spans="1:23" x14ac:dyDescent="0.35">
      <c r="A64" s="1">
        <v>44</v>
      </c>
      <c r="B64" s="1" t="str">
        <f t="shared" si="0"/>
        <v>41-50</v>
      </c>
      <c r="C64" s="1">
        <v>1</v>
      </c>
      <c r="D64" s="1" t="str">
        <f>IF(Table2[[#This Row],[Sex]]=1,"Male", "Female")</f>
        <v>Male</v>
      </c>
      <c r="E64" s="1">
        <v>3</v>
      </c>
      <c r="F64" s="1" t="str">
        <f>IF(Table2[[#This Row],[Chest pain level]]=1, "Typical Angina", IF(Table2[[#This Row],[Chest pain level]]=2, "Atypical Angina", IF(Table2[[#This Row],[Chest pain level]]=3, "Non Anginal Pain", IF(Table2[[#This Row],[Chest pain level]]=4, "Asymptomatic"))))</f>
        <v>Non Anginal Pain</v>
      </c>
      <c r="G64" s="1">
        <v>120</v>
      </c>
      <c r="H64" s="1" t="str">
        <f>IF(Table2[[#This Row],[BP]]&lt;=120, "Normal",  IF(Table2[[#This Row],[BP]]&lt;=130, "Slightly Elevated", IF(Table2[[#This Row],[BP]]&lt;=140, "High", "Very High")))</f>
        <v>Normal</v>
      </c>
      <c r="I64" s="1">
        <v>226</v>
      </c>
      <c r="J64" s="1" t="str">
        <f>IF(Table2[[#This Row],[Cholesterol]]&gt;=240, "High", "Normal")</f>
        <v>Normal</v>
      </c>
      <c r="K64" s="1">
        <v>0</v>
      </c>
      <c r="L64" s="1" t="str">
        <f>IF(Table2[[#This Row],[FBS over 120]]=0, "Normal", "High")</f>
        <v>Normal</v>
      </c>
      <c r="M64" s="1">
        <v>0</v>
      </c>
      <c r="N64" s="1" t="str">
        <f>IF(Table2[[#This Row],[EKG results]]=0, "Normal", "Abnormal")</f>
        <v>Normal</v>
      </c>
      <c r="O64" s="1">
        <v>169</v>
      </c>
      <c r="P64" s="1">
        <v>0</v>
      </c>
      <c r="Q64" s="1" t="str">
        <f>IF(Table2[[#This Row],[Exercise angina]]=0, "Normal", "Abnormal")</f>
        <v>Normal</v>
      </c>
      <c r="R64" s="1">
        <v>0</v>
      </c>
      <c r="S64" s="1">
        <v>1</v>
      </c>
      <c r="T64" s="1">
        <v>0</v>
      </c>
      <c r="U64" s="1">
        <v>3</v>
      </c>
      <c r="V64"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Not At Risk</v>
      </c>
      <c r="W64" s="1" t="s">
        <v>15</v>
      </c>
    </row>
    <row r="65" spans="1:23" x14ac:dyDescent="0.35">
      <c r="A65" s="1">
        <v>60</v>
      </c>
      <c r="B65" s="1" t="str">
        <f t="shared" si="0"/>
        <v>51-60</v>
      </c>
      <c r="C65" s="1">
        <v>0</v>
      </c>
      <c r="D65" s="1" t="str">
        <f>IF(Table2[[#This Row],[Sex]]=1,"Male", "Female")</f>
        <v>Female</v>
      </c>
      <c r="E65" s="1">
        <v>1</v>
      </c>
      <c r="F65" s="1" t="str">
        <f>IF(Table2[[#This Row],[Chest pain level]]=1, "Typical Angina", IF(Table2[[#This Row],[Chest pain level]]=2, "Atypical Angina", IF(Table2[[#This Row],[Chest pain level]]=3, "Non Anginal Pain", IF(Table2[[#This Row],[Chest pain level]]=4, "Asymptomatic"))))</f>
        <v>Typical Angina</v>
      </c>
      <c r="G65" s="1">
        <v>150</v>
      </c>
      <c r="H65" s="1" t="str">
        <f>IF(Table2[[#This Row],[BP]]&lt;=120, "Normal",  IF(Table2[[#This Row],[BP]]&lt;=130, "Slightly Elevated", IF(Table2[[#This Row],[BP]]&lt;=140, "High", "Very High")))</f>
        <v>Very High</v>
      </c>
      <c r="I65" s="1">
        <v>240</v>
      </c>
      <c r="J65" s="1" t="str">
        <f>IF(Table2[[#This Row],[Cholesterol]]&gt;=240, "High", "Normal")</f>
        <v>High</v>
      </c>
      <c r="K65" s="1">
        <v>0</v>
      </c>
      <c r="L65" s="1" t="str">
        <f>IF(Table2[[#This Row],[FBS over 120]]=0, "Normal", "High")</f>
        <v>Normal</v>
      </c>
      <c r="M65" s="1">
        <v>0</v>
      </c>
      <c r="N65" s="1" t="str">
        <f>IF(Table2[[#This Row],[EKG results]]=0, "Normal", "Abnormal")</f>
        <v>Normal</v>
      </c>
      <c r="O65" s="1">
        <v>171</v>
      </c>
      <c r="P65" s="1">
        <v>0</v>
      </c>
      <c r="Q65" s="1" t="str">
        <f>IF(Table2[[#This Row],[Exercise angina]]=0, "Normal", "Abnormal")</f>
        <v>Normal</v>
      </c>
      <c r="R65" s="1">
        <v>0.9</v>
      </c>
      <c r="S65" s="1">
        <v>1</v>
      </c>
      <c r="T65" s="1">
        <v>0</v>
      </c>
      <c r="U65" s="1">
        <v>3</v>
      </c>
      <c r="V65"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65" s="1" t="s">
        <v>15</v>
      </c>
    </row>
    <row r="66" spans="1:23" x14ac:dyDescent="0.35">
      <c r="A66" s="1">
        <v>63</v>
      </c>
      <c r="B66" s="1" t="str">
        <f t="shared" ref="B66:B129" si="1">IF(A66&lt;=30, "Under 30", IF(A66&lt;=40, "31-40", IF(A66&lt;=50, "41-50", IF(A66&lt;=60, "51-60", IF(A66&lt;=70, "61-70", IF(A66&lt;=80, "71-80", "Above 80"))))))</f>
        <v>61-70</v>
      </c>
      <c r="C66" s="1">
        <v>1</v>
      </c>
      <c r="D66" s="1" t="str">
        <f>IF(Table2[[#This Row],[Sex]]=1,"Male", "Female")</f>
        <v>Male</v>
      </c>
      <c r="E66" s="1">
        <v>1</v>
      </c>
      <c r="F66" s="1" t="str">
        <f>IF(Table2[[#This Row],[Chest pain level]]=1, "Typical Angina", IF(Table2[[#This Row],[Chest pain level]]=2, "Atypical Angina", IF(Table2[[#This Row],[Chest pain level]]=3, "Non Anginal Pain", IF(Table2[[#This Row],[Chest pain level]]=4, "Asymptomatic"))))</f>
        <v>Typical Angina</v>
      </c>
      <c r="G66" s="1">
        <v>145</v>
      </c>
      <c r="H66" s="1" t="str">
        <f>IF(Table2[[#This Row],[BP]]&lt;=120, "Normal",  IF(Table2[[#This Row],[BP]]&lt;=130, "Slightly Elevated", IF(Table2[[#This Row],[BP]]&lt;=140, "High", "Very High")))</f>
        <v>Very High</v>
      </c>
      <c r="I66" s="1">
        <v>233</v>
      </c>
      <c r="J66" s="1" t="str">
        <f>IF(Table2[[#This Row],[Cholesterol]]&gt;=240, "High", "Normal")</f>
        <v>Normal</v>
      </c>
      <c r="K66" s="1">
        <v>1</v>
      </c>
      <c r="L66" s="1" t="str">
        <f>IF(Table2[[#This Row],[FBS over 120]]=0, "Normal", "High")</f>
        <v>High</v>
      </c>
      <c r="M66" s="1">
        <v>2</v>
      </c>
      <c r="N66" s="1" t="str">
        <f>IF(Table2[[#This Row],[EKG results]]=0, "Normal", "Abnormal")</f>
        <v>Abnormal</v>
      </c>
      <c r="O66" s="1">
        <v>150</v>
      </c>
      <c r="P66" s="1">
        <v>0</v>
      </c>
      <c r="Q66" s="1" t="str">
        <f>IF(Table2[[#This Row],[Exercise angina]]=0, "Normal", "Abnormal")</f>
        <v>Normal</v>
      </c>
      <c r="R66" s="1">
        <v>2.2999999999999998</v>
      </c>
      <c r="S66" s="1">
        <v>3</v>
      </c>
      <c r="T66" s="1">
        <v>0</v>
      </c>
      <c r="U66" s="1">
        <v>6</v>
      </c>
      <c r="V66"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66" s="1" t="s">
        <v>15</v>
      </c>
    </row>
    <row r="67" spans="1:23" x14ac:dyDescent="0.35">
      <c r="A67" s="1">
        <v>57</v>
      </c>
      <c r="B67" s="1" t="str">
        <f t="shared" si="1"/>
        <v>51-60</v>
      </c>
      <c r="C67" s="1">
        <v>1</v>
      </c>
      <c r="D67" s="1" t="str">
        <f>IF(Table2[[#This Row],[Sex]]=1,"Male", "Female")</f>
        <v>Male</v>
      </c>
      <c r="E67" s="1">
        <v>4</v>
      </c>
      <c r="F67" s="1" t="str">
        <f>IF(Table2[[#This Row],[Chest pain level]]=1, "Typical Angina", IF(Table2[[#This Row],[Chest pain level]]=2, "Atypical Angina", IF(Table2[[#This Row],[Chest pain level]]=3, "Non Anginal Pain", IF(Table2[[#This Row],[Chest pain level]]=4, "Asymptomatic"))))</f>
        <v>Asymptomatic</v>
      </c>
      <c r="G67" s="1">
        <v>150</v>
      </c>
      <c r="H67" s="1" t="str">
        <f>IF(Table2[[#This Row],[BP]]&lt;=120, "Normal",  IF(Table2[[#This Row],[BP]]&lt;=130, "Slightly Elevated", IF(Table2[[#This Row],[BP]]&lt;=140, "High", "Very High")))</f>
        <v>Very High</v>
      </c>
      <c r="I67" s="1">
        <v>276</v>
      </c>
      <c r="J67" s="1" t="str">
        <f>IF(Table2[[#This Row],[Cholesterol]]&gt;=240, "High", "Normal")</f>
        <v>High</v>
      </c>
      <c r="K67" s="1">
        <v>0</v>
      </c>
      <c r="L67" s="1" t="str">
        <f>IF(Table2[[#This Row],[FBS over 120]]=0, "Normal", "High")</f>
        <v>Normal</v>
      </c>
      <c r="M67" s="1">
        <v>2</v>
      </c>
      <c r="N67" s="1" t="str">
        <f>IF(Table2[[#This Row],[EKG results]]=0, "Normal", "Abnormal")</f>
        <v>Abnormal</v>
      </c>
      <c r="O67" s="1">
        <v>112</v>
      </c>
      <c r="P67" s="1">
        <v>1</v>
      </c>
      <c r="Q67" s="1" t="str">
        <f>IF(Table2[[#This Row],[Exercise angina]]=0, "Normal", "Abnormal")</f>
        <v>Abnormal</v>
      </c>
      <c r="R67" s="1">
        <v>0.6</v>
      </c>
      <c r="S67" s="1">
        <v>2</v>
      </c>
      <c r="T67" s="1">
        <v>1</v>
      </c>
      <c r="U67" s="1">
        <v>6</v>
      </c>
      <c r="V67"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67" s="1" t="s">
        <v>14</v>
      </c>
    </row>
    <row r="68" spans="1:23" x14ac:dyDescent="0.35">
      <c r="A68" s="1">
        <v>51</v>
      </c>
      <c r="B68" s="1" t="str">
        <f t="shared" si="1"/>
        <v>51-60</v>
      </c>
      <c r="C68" s="1">
        <v>1</v>
      </c>
      <c r="D68" s="1" t="str">
        <f>IF(Table2[[#This Row],[Sex]]=1,"Male", "Female")</f>
        <v>Male</v>
      </c>
      <c r="E68" s="1">
        <v>4</v>
      </c>
      <c r="F68" s="1" t="str">
        <f>IF(Table2[[#This Row],[Chest pain level]]=1, "Typical Angina", IF(Table2[[#This Row],[Chest pain level]]=2, "Atypical Angina", IF(Table2[[#This Row],[Chest pain level]]=3, "Non Anginal Pain", IF(Table2[[#This Row],[Chest pain level]]=4, "Asymptomatic"))))</f>
        <v>Asymptomatic</v>
      </c>
      <c r="G68" s="1">
        <v>140</v>
      </c>
      <c r="H68" s="1" t="str">
        <f>IF(Table2[[#This Row],[BP]]&lt;=120, "Normal",  IF(Table2[[#This Row],[BP]]&lt;=130, "Slightly Elevated", IF(Table2[[#This Row],[BP]]&lt;=140, "High", "Very High")))</f>
        <v>High</v>
      </c>
      <c r="I68" s="1">
        <v>261</v>
      </c>
      <c r="J68" s="1" t="str">
        <f>IF(Table2[[#This Row],[Cholesterol]]&gt;=240, "High", "Normal")</f>
        <v>High</v>
      </c>
      <c r="K68" s="1">
        <v>0</v>
      </c>
      <c r="L68" s="1" t="str">
        <f>IF(Table2[[#This Row],[FBS over 120]]=0, "Normal", "High")</f>
        <v>Normal</v>
      </c>
      <c r="M68" s="1">
        <v>2</v>
      </c>
      <c r="N68" s="1" t="str">
        <f>IF(Table2[[#This Row],[EKG results]]=0, "Normal", "Abnormal")</f>
        <v>Abnormal</v>
      </c>
      <c r="O68" s="1">
        <v>186</v>
      </c>
      <c r="P68" s="1">
        <v>1</v>
      </c>
      <c r="Q68" s="1" t="str">
        <f>IF(Table2[[#This Row],[Exercise angina]]=0, "Normal", "Abnormal")</f>
        <v>Abnormal</v>
      </c>
      <c r="R68" s="1">
        <v>0</v>
      </c>
      <c r="S68" s="1">
        <v>1</v>
      </c>
      <c r="T68" s="1">
        <v>0</v>
      </c>
      <c r="U68" s="1">
        <v>3</v>
      </c>
      <c r="V68"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68" s="1" t="s">
        <v>15</v>
      </c>
    </row>
    <row r="69" spans="1:23" x14ac:dyDescent="0.35">
      <c r="A69" s="1">
        <v>58</v>
      </c>
      <c r="B69" s="1" t="str">
        <f t="shared" si="1"/>
        <v>51-60</v>
      </c>
      <c r="C69" s="1">
        <v>0</v>
      </c>
      <c r="D69" s="1" t="str">
        <f>IF(Table2[[#This Row],[Sex]]=1,"Male", "Female")</f>
        <v>Female</v>
      </c>
      <c r="E69" s="1">
        <v>2</v>
      </c>
      <c r="F69" s="1" t="str">
        <f>IF(Table2[[#This Row],[Chest pain level]]=1, "Typical Angina", IF(Table2[[#This Row],[Chest pain level]]=2, "Atypical Angina", IF(Table2[[#This Row],[Chest pain level]]=3, "Non Anginal Pain", IF(Table2[[#This Row],[Chest pain level]]=4, "Asymptomatic"))))</f>
        <v>Atypical Angina</v>
      </c>
      <c r="G69" s="1">
        <v>136</v>
      </c>
      <c r="H69" s="1" t="str">
        <f>IF(Table2[[#This Row],[BP]]&lt;=120, "Normal",  IF(Table2[[#This Row],[BP]]&lt;=130, "Slightly Elevated", IF(Table2[[#This Row],[BP]]&lt;=140, "High", "Very High")))</f>
        <v>High</v>
      </c>
      <c r="I69" s="1">
        <v>319</v>
      </c>
      <c r="J69" s="1" t="str">
        <f>IF(Table2[[#This Row],[Cholesterol]]&gt;=240, "High", "Normal")</f>
        <v>High</v>
      </c>
      <c r="K69" s="1">
        <v>1</v>
      </c>
      <c r="L69" s="1" t="str">
        <f>IF(Table2[[#This Row],[FBS over 120]]=0, "Normal", "High")</f>
        <v>High</v>
      </c>
      <c r="M69" s="1">
        <v>2</v>
      </c>
      <c r="N69" s="1" t="str">
        <f>IF(Table2[[#This Row],[EKG results]]=0, "Normal", "Abnormal")</f>
        <v>Abnormal</v>
      </c>
      <c r="O69" s="1">
        <v>152</v>
      </c>
      <c r="P69" s="1">
        <v>0</v>
      </c>
      <c r="Q69" s="1" t="str">
        <f>IF(Table2[[#This Row],[Exercise angina]]=0, "Normal", "Abnormal")</f>
        <v>Normal</v>
      </c>
      <c r="R69" s="1">
        <v>0</v>
      </c>
      <c r="S69" s="1">
        <v>1</v>
      </c>
      <c r="T69" s="1">
        <v>2</v>
      </c>
      <c r="U69" s="1">
        <v>3</v>
      </c>
      <c r="V69"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69" s="1" t="s">
        <v>14</v>
      </c>
    </row>
    <row r="70" spans="1:23" x14ac:dyDescent="0.35">
      <c r="A70" s="1">
        <v>44</v>
      </c>
      <c r="B70" s="1" t="str">
        <f t="shared" si="1"/>
        <v>41-50</v>
      </c>
      <c r="C70" s="1">
        <v>0</v>
      </c>
      <c r="D70" s="1" t="str">
        <f>IF(Table2[[#This Row],[Sex]]=1,"Male", "Female")</f>
        <v>Female</v>
      </c>
      <c r="E70" s="1">
        <v>3</v>
      </c>
      <c r="F70" s="1" t="str">
        <f>IF(Table2[[#This Row],[Chest pain level]]=1, "Typical Angina", IF(Table2[[#This Row],[Chest pain level]]=2, "Atypical Angina", IF(Table2[[#This Row],[Chest pain level]]=3, "Non Anginal Pain", IF(Table2[[#This Row],[Chest pain level]]=4, "Asymptomatic"))))</f>
        <v>Non Anginal Pain</v>
      </c>
      <c r="G70" s="1">
        <v>118</v>
      </c>
      <c r="H70" s="1" t="str">
        <f>IF(Table2[[#This Row],[BP]]&lt;=120, "Normal",  IF(Table2[[#This Row],[BP]]&lt;=130, "Slightly Elevated", IF(Table2[[#This Row],[BP]]&lt;=140, "High", "Very High")))</f>
        <v>Normal</v>
      </c>
      <c r="I70" s="1">
        <v>242</v>
      </c>
      <c r="J70" s="1" t="str">
        <f>IF(Table2[[#This Row],[Cholesterol]]&gt;=240, "High", "Normal")</f>
        <v>High</v>
      </c>
      <c r="K70" s="1">
        <v>0</v>
      </c>
      <c r="L70" s="1" t="str">
        <f>IF(Table2[[#This Row],[FBS over 120]]=0, "Normal", "High")</f>
        <v>Normal</v>
      </c>
      <c r="M70" s="1">
        <v>0</v>
      </c>
      <c r="N70" s="1" t="str">
        <f>IF(Table2[[#This Row],[EKG results]]=0, "Normal", "Abnormal")</f>
        <v>Normal</v>
      </c>
      <c r="O70" s="1">
        <v>149</v>
      </c>
      <c r="P70" s="1">
        <v>0</v>
      </c>
      <c r="Q70" s="1" t="str">
        <f>IF(Table2[[#This Row],[Exercise angina]]=0, "Normal", "Abnormal")</f>
        <v>Normal</v>
      </c>
      <c r="R70" s="1">
        <v>0.3</v>
      </c>
      <c r="S70" s="1">
        <v>2</v>
      </c>
      <c r="T70" s="1">
        <v>1</v>
      </c>
      <c r="U70" s="1">
        <v>3</v>
      </c>
      <c r="V70"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70" s="1" t="s">
        <v>15</v>
      </c>
    </row>
    <row r="71" spans="1:23" x14ac:dyDescent="0.35">
      <c r="A71" s="1">
        <v>47</v>
      </c>
      <c r="B71" s="1" t="str">
        <f t="shared" si="1"/>
        <v>41-50</v>
      </c>
      <c r="C71" s="1">
        <v>1</v>
      </c>
      <c r="D71" s="1" t="str">
        <f>IF(Table2[[#This Row],[Sex]]=1,"Male", "Female")</f>
        <v>Male</v>
      </c>
      <c r="E71" s="1">
        <v>3</v>
      </c>
      <c r="F71" s="1" t="str">
        <f>IF(Table2[[#This Row],[Chest pain level]]=1, "Typical Angina", IF(Table2[[#This Row],[Chest pain level]]=2, "Atypical Angina", IF(Table2[[#This Row],[Chest pain level]]=3, "Non Anginal Pain", IF(Table2[[#This Row],[Chest pain level]]=4, "Asymptomatic"))))</f>
        <v>Non Anginal Pain</v>
      </c>
      <c r="G71" s="1">
        <v>108</v>
      </c>
      <c r="H71" s="1" t="str">
        <f>IF(Table2[[#This Row],[BP]]&lt;=120, "Normal",  IF(Table2[[#This Row],[BP]]&lt;=130, "Slightly Elevated", IF(Table2[[#This Row],[BP]]&lt;=140, "High", "Very High")))</f>
        <v>Normal</v>
      </c>
      <c r="I71" s="1">
        <v>243</v>
      </c>
      <c r="J71" s="1" t="str">
        <f>IF(Table2[[#This Row],[Cholesterol]]&gt;=240, "High", "Normal")</f>
        <v>High</v>
      </c>
      <c r="K71" s="1">
        <v>0</v>
      </c>
      <c r="L71" s="1" t="str">
        <f>IF(Table2[[#This Row],[FBS over 120]]=0, "Normal", "High")</f>
        <v>Normal</v>
      </c>
      <c r="M71" s="1">
        <v>0</v>
      </c>
      <c r="N71" s="1" t="str">
        <f>IF(Table2[[#This Row],[EKG results]]=0, "Normal", "Abnormal")</f>
        <v>Normal</v>
      </c>
      <c r="O71" s="1">
        <v>152</v>
      </c>
      <c r="P71" s="1">
        <v>0</v>
      </c>
      <c r="Q71" s="1" t="str">
        <f>IF(Table2[[#This Row],[Exercise angina]]=0, "Normal", "Abnormal")</f>
        <v>Normal</v>
      </c>
      <c r="R71" s="1">
        <v>0</v>
      </c>
      <c r="S71" s="1">
        <v>1</v>
      </c>
      <c r="T71" s="1">
        <v>0</v>
      </c>
      <c r="U71" s="1">
        <v>3</v>
      </c>
      <c r="V71"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71" s="1" t="s">
        <v>14</v>
      </c>
    </row>
    <row r="72" spans="1:23" x14ac:dyDescent="0.35">
      <c r="A72" s="1">
        <v>61</v>
      </c>
      <c r="B72" s="1" t="str">
        <f t="shared" si="1"/>
        <v>61-70</v>
      </c>
      <c r="C72" s="1">
        <v>1</v>
      </c>
      <c r="D72" s="1" t="str">
        <f>IF(Table2[[#This Row],[Sex]]=1,"Male", "Female")</f>
        <v>Male</v>
      </c>
      <c r="E72" s="1">
        <v>4</v>
      </c>
      <c r="F72" s="1" t="str">
        <f>IF(Table2[[#This Row],[Chest pain level]]=1, "Typical Angina", IF(Table2[[#This Row],[Chest pain level]]=2, "Atypical Angina", IF(Table2[[#This Row],[Chest pain level]]=3, "Non Anginal Pain", IF(Table2[[#This Row],[Chest pain level]]=4, "Asymptomatic"))))</f>
        <v>Asymptomatic</v>
      </c>
      <c r="G72" s="1">
        <v>120</v>
      </c>
      <c r="H72" s="1" t="str">
        <f>IF(Table2[[#This Row],[BP]]&lt;=120, "Normal",  IF(Table2[[#This Row],[BP]]&lt;=130, "Slightly Elevated", IF(Table2[[#This Row],[BP]]&lt;=140, "High", "Very High")))</f>
        <v>Normal</v>
      </c>
      <c r="I72" s="1">
        <v>260</v>
      </c>
      <c r="J72" s="1" t="str">
        <f>IF(Table2[[#This Row],[Cholesterol]]&gt;=240, "High", "Normal")</f>
        <v>High</v>
      </c>
      <c r="K72" s="1">
        <v>0</v>
      </c>
      <c r="L72" s="1" t="str">
        <f>IF(Table2[[#This Row],[FBS over 120]]=0, "Normal", "High")</f>
        <v>Normal</v>
      </c>
      <c r="M72" s="1">
        <v>0</v>
      </c>
      <c r="N72" s="1" t="str">
        <f>IF(Table2[[#This Row],[EKG results]]=0, "Normal", "Abnormal")</f>
        <v>Normal</v>
      </c>
      <c r="O72" s="1">
        <v>140</v>
      </c>
      <c r="P72" s="1">
        <v>1</v>
      </c>
      <c r="Q72" s="1" t="str">
        <f>IF(Table2[[#This Row],[Exercise angina]]=0, "Normal", "Abnormal")</f>
        <v>Abnormal</v>
      </c>
      <c r="R72" s="1">
        <v>3.6</v>
      </c>
      <c r="S72" s="1">
        <v>2</v>
      </c>
      <c r="T72" s="1">
        <v>1</v>
      </c>
      <c r="U72" s="1">
        <v>7</v>
      </c>
      <c r="V72"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72" s="1" t="s">
        <v>14</v>
      </c>
    </row>
    <row r="73" spans="1:23" x14ac:dyDescent="0.35">
      <c r="A73" s="1">
        <v>57</v>
      </c>
      <c r="B73" s="1" t="str">
        <f t="shared" si="1"/>
        <v>51-60</v>
      </c>
      <c r="C73" s="1">
        <v>0</v>
      </c>
      <c r="D73" s="1" t="str">
        <f>IF(Table2[[#This Row],[Sex]]=1,"Male", "Female")</f>
        <v>Female</v>
      </c>
      <c r="E73" s="1">
        <v>4</v>
      </c>
      <c r="F73" s="1" t="str">
        <f>IF(Table2[[#This Row],[Chest pain level]]=1, "Typical Angina", IF(Table2[[#This Row],[Chest pain level]]=2, "Atypical Angina", IF(Table2[[#This Row],[Chest pain level]]=3, "Non Anginal Pain", IF(Table2[[#This Row],[Chest pain level]]=4, "Asymptomatic"))))</f>
        <v>Asymptomatic</v>
      </c>
      <c r="G73" s="1">
        <v>120</v>
      </c>
      <c r="H73" s="1" t="str">
        <f>IF(Table2[[#This Row],[BP]]&lt;=120, "Normal",  IF(Table2[[#This Row],[BP]]&lt;=130, "Slightly Elevated", IF(Table2[[#This Row],[BP]]&lt;=140, "High", "Very High")))</f>
        <v>Normal</v>
      </c>
      <c r="I73" s="1">
        <v>354</v>
      </c>
      <c r="J73" s="1" t="str">
        <f>IF(Table2[[#This Row],[Cholesterol]]&gt;=240, "High", "Normal")</f>
        <v>High</v>
      </c>
      <c r="K73" s="1">
        <v>0</v>
      </c>
      <c r="L73" s="1" t="str">
        <f>IF(Table2[[#This Row],[FBS over 120]]=0, "Normal", "High")</f>
        <v>Normal</v>
      </c>
      <c r="M73" s="1">
        <v>0</v>
      </c>
      <c r="N73" s="1" t="str">
        <f>IF(Table2[[#This Row],[EKG results]]=0, "Normal", "Abnormal")</f>
        <v>Normal</v>
      </c>
      <c r="O73" s="1">
        <v>163</v>
      </c>
      <c r="P73" s="1">
        <v>1</v>
      </c>
      <c r="Q73" s="1" t="str">
        <f>IF(Table2[[#This Row],[Exercise angina]]=0, "Normal", "Abnormal")</f>
        <v>Abnormal</v>
      </c>
      <c r="R73" s="1">
        <v>0.6</v>
      </c>
      <c r="S73" s="1">
        <v>1</v>
      </c>
      <c r="T73" s="1">
        <v>0</v>
      </c>
      <c r="U73" s="1">
        <v>3</v>
      </c>
      <c r="V73"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73" s="1" t="s">
        <v>15</v>
      </c>
    </row>
    <row r="74" spans="1:23" x14ac:dyDescent="0.35">
      <c r="A74" s="1">
        <v>70</v>
      </c>
      <c r="B74" s="1" t="str">
        <f t="shared" si="1"/>
        <v>61-70</v>
      </c>
      <c r="C74" s="1">
        <v>1</v>
      </c>
      <c r="D74" s="1" t="str">
        <f>IF(Table2[[#This Row],[Sex]]=1,"Male", "Female")</f>
        <v>Male</v>
      </c>
      <c r="E74" s="1">
        <v>2</v>
      </c>
      <c r="F74" s="1" t="str">
        <f>IF(Table2[[#This Row],[Chest pain level]]=1, "Typical Angina", IF(Table2[[#This Row],[Chest pain level]]=2, "Atypical Angina", IF(Table2[[#This Row],[Chest pain level]]=3, "Non Anginal Pain", IF(Table2[[#This Row],[Chest pain level]]=4, "Asymptomatic"))))</f>
        <v>Atypical Angina</v>
      </c>
      <c r="G74" s="1">
        <v>156</v>
      </c>
      <c r="H74" s="1" t="str">
        <f>IF(Table2[[#This Row],[BP]]&lt;=120, "Normal",  IF(Table2[[#This Row],[BP]]&lt;=130, "Slightly Elevated", IF(Table2[[#This Row],[BP]]&lt;=140, "High", "Very High")))</f>
        <v>Very High</v>
      </c>
      <c r="I74" s="1">
        <v>245</v>
      </c>
      <c r="J74" s="1" t="str">
        <f>IF(Table2[[#This Row],[Cholesterol]]&gt;=240, "High", "Normal")</f>
        <v>High</v>
      </c>
      <c r="K74" s="1">
        <v>0</v>
      </c>
      <c r="L74" s="1" t="str">
        <f>IF(Table2[[#This Row],[FBS over 120]]=0, "Normal", "High")</f>
        <v>Normal</v>
      </c>
      <c r="M74" s="1">
        <v>2</v>
      </c>
      <c r="N74" s="1" t="str">
        <f>IF(Table2[[#This Row],[EKG results]]=0, "Normal", "Abnormal")</f>
        <v>Abnormal</v>
      </c>
      <c r="O74" s="1">
        <v>143</v>
      </c>
      <c r="P74" s="1">
        <v>0</v>
      </c>
      <c r="Q74" s="1" t="str">
        <f>IF(Table2[[#This Row],[Exercise angina]]=0, "Normal", "Abnormal")</f>
        <v>Normal</v>
      </c>
      <c r="R74" s="1">
        <v>0</v>
      </c>
      <c r="S74" s="1">
        <v>1</v>
      </c>
      <c r="T74" s="1">
        <v>0</v>
      </c>
      <c r="U74" s="1">
        <v>3</v>
      </c>
      <c r="V74"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74" s="1" t="s">
        <v>15</v>
      </c>
    </row>
    <row r="75" spans="1:23" x14ac:dyDescent="0.35">
      <c r="A75" s="1">
        <v>76</v>
      </c>
      <c r="B75" s="1" t="str">
        <f t="shared" si="1"/>
        <v>71-80</v>
      </c>
      <c r="C75" s="1">
        <v>0</v>
      </c>
      <c r="D75" s="1" t="str">
        <f>IF(Table2[[#This Row],[Sex]]=1,"Male", "Female")</f>
        <v>Female</v>
      </c>
      <c r="E75" s="1">
        <v>3</v>
      </c>
      <c r="F75" s="1" t="str">
        <f>IF(Table2[[#This Row],[Chest pain level]]=1, "Typical Angina", IF(Table2[[#This Row],[Chest pain level]]=2, "Atypical Angina", IF(Table2[[#This Row],[Chest pain level]]=3, "Non Anginal Pain", IF(Table2[[#This Row],[Chest pain level]]=4, "Asymptomatic"))))</f>
        <v>Non Anginal Pain</v>
      </c>
      <c r="G75" s="1">
        <v>140</v>
      </c>
      <c r="H75" s="1" t="str">
        <f>IF(Table2[[#This Row],[BP]]&lt;=120, "Normal",  IF(Table2[[#This Row],[BP]]&lt;=130, "Slightly Elevated", IF(Table2[[#This Row],[BP]]&lt;=140, "High", "Very High")))</f>
        <v>High</v>
      </c>
      <c r="I75" s="1">
        <v>197</v>
      </c>
      <c r="J75" s="1" t="str">
        <f>IF(Table2[[#This Row],[Cholesterol]]&gt;=240, "High", "Normal")</f>
        <v>Normal</v>
      </c>
      <c r="K75" s="1">
        <v>0</v>
      </c>
      <c r="L75" s="1" t="str">
        <f>IF(Table2[[#This Row],[FBS over 120]]=0, "Normal", "High")</f>
        <v>Normal</v>
      </c>
      <c r="M75" s="1">
        <v>1</v>
      </c>
      <c r="N75" s="1" t="str">
        <f>IF(Table2[[#This Row],[EKG results]]=0, "Normal", "Abnormal")</f>
        <v>Abnormal</v>
      </c>
      <c r="O75" s="1">
        <v>116</v>
      </c>
      <c r="P75" s="1">
        <v>0</v>
      </c>
      <c r="Q75" s="1" t="str">
        <f>IF(Table2[[#This Row],[Exercise angina]]=0, "Normal", "Abnormal")</f>
        <v>Normal</v>
      </c>
      <c r="R75" s="1">
        <v>1.1000000000000001</v>
      </c>
      <c r="S75" s="1">
        <v>2</v>
      </c>
      <c r="T75" s="1">
        <v>0</v>
      </c>
      <c r="U75" s="1">
        <v>3</v>
      </c>
      <c r="V75"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75" s="1" t="s">
        <v>15</v>
      </c>
    </row>
    <row r="76" spans="1:23" x14ac:dyDescent="0.35">
      <c r="A76" s="1">
        <v>67</v>
      </c>
      <c r="B76" s="1" t="str">
        <f t="shared" si="1"/>
        <v>61-70</v>
      </c>
      <c r="C76" s="1">
        <v>0</v>
      </c>
      <c r="D76" s="1" t="str">
        <f>IF(Table2[[#This Row],[Sex]]=1,"Male", "Female")</f>
        <v>Female</v>
      </c>
      <c r="E76" s="1">
        <v>4</v>
      </c>
      <c r="F76" s="1" t="str">
        <f>IF(Table2[[#This Row],[Chest pain level]]=1, "Typical Angina", IF(Table2[[#This Row],[Chest pain level]]=2, "Atypical Angina", IF(Table2[[#This Row],[Chest pain level]]=3, "Non Anginal Pain", IF(Table2[[#This Row],[Chest pain level]]=4, "Asymptomatic"))))</f>
        <v>Asymptomatic</v>
      </c>
      <c r="G76" s="1">
        <v>106</v>
      </c>
      <c r="H76" s="1" t="str">
        <f>IF(Table2[[#This Row],[BP]]&lt;=120, "Normal",  IF(Table2[[#This Row],[BP]]&lt;=130, "Slightly Elevated", IF(Table2[[#This Row],[BP]]&lt;=140, "High", "Very High")))</f>
        <v>Normal</v>
      </c>
      <c r="I76" s="1">
        <v>223</v>
      </c>
      <c r="J76" s="1" t="str">
        <f>IF(Table2[[#This Row],[Cholesterol]]&gt;=240, "High", "Normal")</f>
        <v>Normal</v>
      </c>
      <c r="K76" s="1">
        <v>0</v>
      </c>
      <c r="L76" s="1" t="str">
        <f>IF(Table2[[#This Row],[FBS over 120]]=0, "Normal", "High")</f>
        <v>Normal</v>
      </c>
      <c r="M76" s="1">
        <v>0</v>
      </c>
      <c r="N76" s="1" t="str">
        <f>IF(Table2[[#This Row],[EKG results]]=0, "Normal", "Abnormal")</f>
        <v>Normal</v>
      </c>
      <c r="O76" s="1">
        <v>142</v>
      </c>
      <c r="P76" s="1">
        <v>0</v>
      </c>
      <c r="Q76" s="1" t="str">
        <f>IF(Table2[[#This Row],[Exercise angina]]=0, "Normal", "Abnormal")</f>
        <v>Normal</v>
      </c>
      <c r="R76" s="1">
        <v>0.3</v>
      </c>
      <c r="S76" s="1">
        <v>1</v>
      </c>
      <c r="T76" s="1">
        <v>2</v>
      </c>
      <c r="U76" s="1">
        <v>3</v>
      </c>
      <c r="V76"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76" s="1" t="s">
        <v>15</v>
      </c>
    </row>
    <row r="77" spans="1:23" x14ac:dyDescent="0.35">
      <c r="A77" s="1">
        <v>45</v>
      </c>
      <c r="B77" s="1" t="str">
        <f t="shared" si="1"/>
        <v>41-50</v>
      </c>
      <c r="C77" s="1">
        <v>1</v>
      </c>
      <c r="D77" s="1" t="str">
        <f>IF(Table2[[#This Row],[Sex]]=1,"Male", "Female")</f>
        <v>Male</v>
      </c>
      <c r="E77" s="1">
        <v>4</v>
      </c>
      <c r="F77" s="1" t="str">
        <f>IF(Table2[[#This Row],[Chest pain level]]=1, "Typical Angina", IF(Table2[[#This Row],[Chest pain level]]=2, "Atypical Angina", IF(Table2[[#This Row],[Chest pain level]]=3, "Non Anginal Pain", IF(Table2[[#This Row],[Chest pain level]]=4, "Asymptomatic"))))</f>
        <v>Asymptomatic</v>
      </c>
      <c r="G77" s="1">
        <v>142</v>
      </c>
      <c r="H77" s="1" t="str">
        <f>IF(Table2[[#This Row],[BP]]&lt;=120, "Normal",  IF(Table2[[#This Row],[BP]]&lt;=130, "Slightly Elevated", IF(Table2[[#This Row],[BP]]&lt;=140, "High", "Very High")))</f>
        <v>Very High</v>
      </c>
      <c r="I77" s="1">
        <v>309</v>
      </c>
      <c r="J77" s="1" t="str">
        <f>IF(Table2[[#This Row],[Cholesterol]]&gt;=240, "High", "Normal")</f>
        <v>High</v>
      </c>
      <c r="K77" s="1">
        <v>0</v>
      </c>
      <c r="L77" s="1" t="str">
        <f>IF(Table2[[#This Row],[FBS over 120]]=0, "Normal", "High")</f>
        <v>Normal</v>
      </c>
      <c r="M77" s="1">
        <v>2</v>
      </c>
      <c r="N77" s="1" t="str">
        <f>IF(Table2[[#This Row],[EKG results]]=0, "Normal", "Abnormal")</f>
        <v>Abnormal</v>
      </c>
      <c r="O77" s="1">
        <v>147</v>
      </c>
      <c r="P77" s="1">
        <v>1</v>
      </c>
      <c r="Q77" s="1" t="str">
        <f>IF(Table2[[#This Row],[Exercise angina]]=0, "Normal", "Abnormal")</f>
        <v>Abnormal</v>
      </c>
      <c r="R77" s="1">
        <v>0</v>
      </c>
      <c r="S77" s="1">
        <v>2</v>
      </c>
      <c r="T77" s="1">
        <v>3</v>
      </c>
      <c r="U77" s="1">
        <v>7</v>
      </c>
      <c r="V77"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77" s="1" t="s">
        <v>14</v>
      </c>
    </row>
    <row r="78" spans="1:23" x14ac:dyDescent="0.35">
      <c r="A78" s="1">
        <v>45</v>
      </c>
      <c r="B78" s="1" t="str">
        <f t="shared" si="1"/>
        <v>41-50</v>
      </c>
      <c r="C78" s="1">
        <v>1</v>
      </c>
      <c r="D78" s="1" t="str">
        <f>IF(Table2[[#This Row],[Sex]]=1,"Male", "Female")</f>
        <v>Male</v>
      </c>
      <c r="E78" s="1">
        <v>4</v>
      </c>
      <c r="F78" s="1" t="str">
        <f>IF(Table2[[#This Row],[Chest pain level]]=1, "Typical Angina", IF(Table2[[#This Row],[Chest pain level]]=2, "Atypical Angina", IF(Table2[[#This Row],[Chest pain level]]=3, "Non Anginal Pain", IF(Table2[[#This Row],[Chest pain level]]=4, "Asymptomatic"))))</f>
        <v>Asymptomatic</v>
      </c>
      <c r="G78" s="1">
        <v>104</v>
      </c>
      <c r="H78" s="1" t="str">
        <f>IF(Table2[[#This Row],[BP]]&lt;=120, "Normal",  IF(Table2[[#This Row],[BP]]&lt;=130, "Slightly Elevated", IF(Table2[[#This Row],[BP]]&lt;=140, "High", "Very High")))</f>
        <v>Normal</v>
      </c>
      <c r="I78" s="1">
        <v>208</v>
      </c>
      <c r="J78" s="1" t="str">
        <f>IF(Table2[[#This Row],[Cholesterol]]&gt;=240, "High", "Normal")</f>
        <v>Normal</v>
      </c>
      <c r="K78" s="1">
        <v>0</v>
      </c>
      <c r="L78" s="1" t="str">
        <f>IF(Table2[[#This Row],[FBS over 120]]=0, "Normal", "High")</f>
        <v>Normal</v>
      </c>
      <c r="M78" s="1">
        <v>2</v>
      </c>
      <c r="N78" s="1" t="str">
        <f>IF(Table2[[#This Row],[EKG results]]=0, "Normal", "Abnormal")</f>
        <v>Abnormal</v>
      </c>
      <c r="O78" s="1">
        <v>148</v>
      </c>
      <c r="P78" s="1">
        <v>1</v>
      </c>
      <c r="Q78" s="1" t="str">
        <f>IF(Table2[[#This Row],[Exercise angina]]=0, "Normal", "Abnormal")</f>
        <v>Abnormal</v>
      </c>
      <c r="R78" s="1">
        <v>3</v>
      </c>
      <c r="S78" s="1">
        <v>2</v>
      </c>
      <c r="T78" s="1">
        <v>0</v>
      </c>
      <c r="U78" s="1">
        <v>3</v>
      </c>
      <c r="V78"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78" s="1" t="s">
        <v>15</v>
      </c>
    </row>
    <row r="79" spans="1:23" x14ac:dyDescent="0.35">
      <c r="A79" s="1">
        <v>39</v>
      </c>
      <c r="B79" s="1" t="str">
        <f t="shared" si="1"/>
        <v>31-40</v>
      </c>
      <c r="C79" s="1">
        <v>0</v>
      </c>
      <c r="D79" s="1" t="str">
        <f>IF(Table2[[#This Row],[Sex]]=1,"Male", "Female")</f>
        <v>Female</v>
      </c>
      <c r="E79" s="1">
        <v>3</v>
      </c>
      <c r="F79" s="1" t="str">
        <f>IF(Table2[[#This Row],[Chest pain level]]=1, "Typical Angina", IF(Table2[[#This Row],[Chest pain level]]=2, "Atypical Angina", IF(Table2[[#This Row],[Chest pain level]]=3, "Non Anginal Pain", IF(Table2[[#This Row],[Chest pain level]]=4, "Asymptomatic"))))</f>
        <v>Non Anginal Pain</v>
      </c>
      <c r="G79" s="1">
        <v>94</v>
      </c>
      <c r="H79" s="1" t="str">
        <f>IF(Table2[[#This Row],[BP]]&lt;=120, "Normal",  IF(Table2[[#This Row],[BP]]&lt;=130, "Slightly Elevated", IF(Table2[[#This Row],[BP]]&lt;=140, "High", "Very High")))</f>
        <v>Normal</v>
      </c>
      <c r="I79" s="1">
        <v>199</v>
      </c>
      <c r="J79" s="1" t="str">
        <f>IF(Table2[[#This Row],[Cholesterol]]&gt;=240, "High", "Normal")</f>
        <v>Normal</v>
      </c>
      <c r="K79" s="1">
        <v>0</v>
      </c>
      <c r="L79" s="1" t="str">
        <f>IF(Table2[[#This Row],[FBS over 120]]=0, "Normal", "High")</f>
        <v>Normal</v>
      </c>
      <c r="M79" s="1">
        <v>0</v>
      </c>
      <c r="N79" s="1" t="str">
        <f>IF(Table2[[#This Row],[EKG results]]=0, "Normal", "Abnormal")</f>
        <v>Normal</v>
      </c>
      <c r="O79" s="1">
        <v>179</v>
      </c>
      <c r="P79" s="1">
        <v>0</v>
      </c>
      <c r="Q79" s="1" t="str">
        <f>IF(Table2[[#This Row],[Exercise angina]]=0, "Normal", "Abnormal")</f>
        <v>Normal</v>
      </c>
      <c r="R79" s="1">
        <v>0</v>
      </c>
      <c r="S79" s="1">
        <v>1</v>
      </c>
      <c r="T79" s="1">
        <v>0</v>
      </c>
      <c r="U79" s="1">
        <v>3</v>
      </c>
      <c r="V79"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Not At Risk</v>
      </c>
      <c r="W79" s="1" t="s">
        <v>15</v>
      </c>
    </row>
    <row r="80" spans="1:23" x14ac:dyDescent="0.35">
      <c r="A80" s="1">
        <v>42</v>
      </c>
      <c r="B80" s="1" t="str">
        <f t="shared" si="1"/>
        <v>41-50</v>
      </c>
      <c r="C80" s="1">
        <v>0</v>
      </c>
      <c r="D80" s="1" t="str">
        <f>IF(Table2[[#This Row],[Sex]]=1,"Male", "Female")</f>
        <v>Female</v>
      </c>
      <c r="E80" s="1">
        <v>3</v>
      </c>
      <c r="F80" s="1" t="str">
        <f>IF(Table2[[#This Row],[Chest pain level]]=1, "Typical Angina", IF(Table2[[#This Row],[Chest pain level]]=2, "Atypical Angina", IF(Table2[[#This Row],[Chest pain level]]=3, "Non Anginal Pain", IF(Table2[[#This Row],[Chest pain level]]=4, "Asymptomatic"))))</f>
        <v>Non Anginal Pain</v>
      </c>
      <c r="G80" s="1">
        <v>120</v>
      </c>
      <c r="H80" s="1" t="str">
        <f>IF(Table2[[#This Row],[BP]]&lt;=120, "Normal",  IF(Table2[[#This Row],[BP]]&lt;=130, "Slightly Elevated", IF(Table2[[#This Row],[BP]]&lt;=140, "High", "Very High")))</f>
        <v>Normal</v>
      </c>
      <c r="I80" s="1">
        <v>209</v>
      </c>
      <c r="J80" s="1" t="str">
        <f>IF(Table2[[#This Row],[Cholesterol]]&gt;=240, "High", "Normal")</f>
        <v>Normal</v>
      </c>
      <c r="K80" s="1">
        <v>0</v>
      </c>
      <c r="L80" s="1" t="str">
        <f>IF(Table2[[#This Row],[FBS over 120]]=0, "Normal", "High")</f>
        <v>Normal</v>
      </c>
      <c r="M80" s="1">
        <v>0</v>
      </c>
      <c r="N80" s="1" t="str">
        <f>IF(Table2[[#This Row],[EKG results]]=0, "Normal", "Abnormal")</f>
        <v>Normal</v>
      </c>
      <c r="O80" s="1">
        <v>173</v>
      </c>
      <c r="P80" s="1">
        <v>0</v>
      </c>
      <c r="Q80" s="1" t="str">
        <f>IF(Table2[[#This Row],[Exercise angina]]=0, "Normal", "Abnormal")</f>
        <v>Normal</v>
      </c>
      <c r="R80" s="1">
        <v>0</v>
      </c>
      <c r="S80" s="1">
        <v>2</v>
      </c>
      <c r="T80" s="1">
        <v>0</v>
      </c>
      <c r="U80" s="1">
        <v>3</v>
      </c>
      <c r="V80"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80" s="1" t="s">
        <v>15</v>
      </c>
    </row>
    <row r="81" spans="1:23" x14ac:dyDescent="0.35">
      <c r="A81" s="1">
        <v>56</v>
      </c>
      <c r="B81" s="1" t="str">
        <f t="shared" si="1"/>
        <v>51-60</v>
      </c>
      <c r="C81" s="1">
        <v>1</v>
      </c>
      <c r="D81" s="1" t="str">
        <f>IF(Table2[[#This Row],[Sex]]=1,"Male", "Female")</f>
        <v>Male</v>
      </c>
      <c r="E81" s="1">
        <v>2</v>
      </c>
      <c r="F81" s="1" t="str">
        <f>IF(Table2[[#This Row],[Chest pain level]]=1, "Typical Angina", IF(Table2[[#This Row],[Chest pain level]]=2, "Atypical Angina", IF(Table2[[#This Row],[Chest pain level]]=3, "Non Anginal Pain", IF(Table2[[#This Row],[Chest pain level]]=4, "Asymptomatic"))))</f>
        <v>Atypical Angina</v>
      </c>
      <c r="G81" s="1">
        <v>120</v>
      </c>
      <c r="H81" s="1" t="str">
        <f>IF(Table2[[#This Row],[BP]]&lt;=120, "Normal",  IF(Table2[[#This Row],[BP]]&lt;=130, "Slightly Elevated", IF(Table2[[#This Row],[BP]]&lt;=140, "High", "Very High")))</f>
        <v>Normal</v>
      </c>
      <c r="I81" s="1">
        <v>236</v>
      </c>
      <c r="J81" s="1" t="str">
        <f>IF(Table2[[#This Row],[Cholesterol]]&gt;=240, "High", "Normal")</f>
        <v>Normal</v>
      </c>
      <c r="K81" s="1">
        <v>0</v>
      </c>
      <c r="L81" s="1" t="str">
        <f>IF(Table2[[#This Row],[FBS over 120]]=0, "Normal", "High")</f>
        <v>Normal</v>
      </c>
      <c r="M81" s="1">
        <v>0</v>
      </c>
      <c r="N81" s="1" t="str">
        <f>IF(Table2[[#This Row],[EKG results]]=0, "Normal", "Abnormal")</f>
        <v>Normal</v>
      </c>
      <c r="O81" s="1">
        <v>178</v>
      </c>
      <c r="P81" s="1">
        <v>0</v>
      </c>
      <c r="Q81" s="1" t="str">
        <f>IF(Table2[[#This Row],[Exercise angina]]=0, "Normal", "Abnormal")</f>
        <v>Normal</v>
      </c>
      <c r="R81" s="1">
        <v>0.8</v>
      </c>
      <c r="S81" s="1">
        <v>1</v>
      </c>
      <c r="T81" s="1">
        <v>0</v>
      </c>
      <c r="U81" s="1">
        <v>3</v>
      </c>
      <c r="V81"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81" s="1" t="s">
        <v>15</v>
      </c>
    </row>
    <row r="82" spans="1:23" x14ac:dyDescent="0.35">
      <c r="A82" s="1">
        <v>58</v>
      </c>
      <c r="B82" s="1" t="str">
        <f t="shared" si="1"/>
        <v>51-60</v>
      </c>
      <c r="C82" s="1">
        <v>1</v>
      </c>
      <c r="D82" s="1" t="str">
        <f>IF(Table2[[#This Row],[Sex]]=1,"Male", "Female")</f>
        <v>Male</v>
      </c>
      <c r="E82" s="1">
        <v>4</v>
      </c>
      <c r="F82" s="1" t="str">
        <f>IF(Table2[[#This Row],[Chest pain level]]=1, "Typical Angina", IF(Table2[[#This Row],[Chest pain level]]=2, "Atypical Angina", IF(Table2[[#This Row],[Chest pain level]]=3, "Non Anginal Pain", IF(Table2[[#This Row],[Chest pain level]]=4, "Asymptomatic"))))</f>
        <v>Asymptomatic</v>
      </c>
      <c r="G82" s="1">
        <v>146</v>
      </c>
      <c r="H82" s="1" t="str">
        <f>IF(Table2[[#This Row],[BP]]&lt;=120, "Normal",  IF(Table2[[#This Row],[BP]]&lt;=130, "Slightly Elevated", IF(Table2[[#This Row],[BP]]&lt;=140, "High", "Very High")))</f>
        <v>Very High</v>
      </c>
      <c r="I82" s="1">
        <v>218</v>
      </c>
      <c r="J82" s="1" t="str">
        <f>IF(Table2[[#This Row],[Cholesterol]]&gt;=240, "High", "Normal")</f>
        <v>Normal</v>
      </c>
      <c r="K82" s="1">
        <v>0</v>
      </c>
      <c r="L82" s="1" t="str">
        <f>IF(Table2[[#This Row],[FBS over 120]]=0, "Normal", "High")</f>
        <v>Normal</v>
      </c>
      <c r="M82" s="1">
        <v>0</v>
      </c>
      <c r="N82" s="1" t="str">
        <f>IF(Table2[[#This Row],[EKG results]]=0, "Normal", "Abnormal")</f>
        <v>Normal</v>
      </c>
      <c r="O82" s="1">
        <v>105</v>
      </c>
      <c r="P82" s="1">
        <v>0</v>
      </c>
      <c r="Q82" s="1" t="str">
        <f>IF(Table2[[#This Row],[Exercise angina]]=0, "Normal", "Abnormal")</f>
        <v>Normal</v>
      </c>
      <c r="R82" s="1">
        <v>2</v>
      </c>
      <c r="S82" s="1">
        <v>2</v>
      </c>
      <c r="T82" s="1">
        <v>1</v>
      </c>
      <c r="U82" s="1">
        <v>7</v>
      </c>
      <c r="V82"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82" s="1" t="s">
        <v>14</v>
      </c>
    </row>
    <row r="83" spans="1:23" x14ac:dyDescent="0.35">
      <c r="A83" s="1">
        <v>35</v>
      </c>
      <c r="B83" s="1" t="str">
        <f t="shared" si="1"/>
        <v>31-40</v>
      </c>
      <c r="C83" s="1">
        <v>1</v>
      </c>
      <c r="D83" s="1" t="str">
        <f>IF(Table2[[#This Row],[Sex]]=1,"Male", "Female")</f>
        <v>Male</v>
      </c>
      <c r="E83" s="1">
        <v>4</v>
      </c>
      <c r="F83" s="1" t="str">
        <f>IF(Table2[[#This Row],[Chest pain level]]=1, "Typical Angina", IF(Table2[[#This Row],[Chest pain level]]=2, "Atypical Angina", IF(Table2[[#This Row],[Chest pain level]]=3, "Non Anginal Pain", IF(Table2[[#This Row],[Chest pain level]]=4, "Asymptomatic"))))</f>
        <v>Asymptomatic</v>
      </c>
      <c r="G83" s="1">
        <v>120</v>
      </c>
      <c r="H83" s="1" t="str">
        <f>IF(Table2[[#This Row],[BP]]&lt;=120, "Normal",  IF(Table2[[#This Row],[BP]]&lt;=130, "Slightly Elevated", IF(Table2[[#This Row],[BP]]&lt;=140, "High", "Very High")))</f>
        <v>Normal</v>
      </c>
      <c r="I83" s="1">
        <v>198</v>
      </c>
      <c r="J83" s="1" t="str">
        <f>IF(Table2[[#This Row],[Cholesterol]]&gt;=240, "High", "Normal")</f>
        <v>Normal</v>
      </c>
      <c r="K83" s="1">
        <v>0</v>
      </c>
      <c r="L83" s="1" t="str">
        <f>IF(Table2[[#This Row],[FBS over 120]]=0, "Normal", "High")</f>
        <v>Normal</v>
      </c>
      <c r="M83" s="1">
        <v>0</v>
      </c>
      <c r="N83" s="1" t="str">
        <f>IF(Table2[[#This Row],[EKG results]]=0, "Normal", "Abnormal")</f>
        <v>Normal</v>
      </c>
      <c r="O83" s="1">
        <v>130</v>
      </c>
      <c r="P83" s="1">
        <v>1</v>
      </c>
      <c r="Q83" s="1" t="str">
        <f>IF(Table2[[#This Row],[Exercise angina]]=0, "Normal", "Abnormal")</f>
        <v>Abnormal</v>
      </c>
      <c r="R83" s="1">
        <v>1.6</v>
      </c>
      <c r="S83" s="1">
        <v>2</v>
      </c>
      <c r="T83" s="1">
        <v>0</v>
      </c>
      <c r="U83" s="1">
        <v>7</v>
      </c>
      <c r="V83"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83" s="1" t="s">
        <v>14</v>
      </c>
    </row>
    <row r="84" spans="1:23" x14ac:dyDescent="0.35">
      <c r="A84" s="1">
        <v>58</v>
      </c>
      <c r="B84" s="1" t="str">
        <f t="shared" si="1"/>
        <v>51-60</v>
      </c>
      <c r="C84" s="1">
        <v>1</v>
      </c>
      <c r="D84" s="1" t="str">
        <f>IF(Table2[[#This Row],[Sex]]=1,"Male", "Female")</f>
        <v>Male</v>
      </c>
      <c r="E84" s="1">
        <v>4</v>
      </c>
      <c r="F84" s="1" t="str">
        <f>IF(Table2[[#This Row],[Chest pain level]]=1, "Typical Angina", IF(Table2[[#This Row],[Chest pain level]]=2, "Atypical Angina", IF(Table2[[#This Row],[Chest pain level]]=3, "Non Anginal Pain", IF(Table2[[#This Row],[Chest pain level]]=4, "Asymptomatic"))))</f>
        <v>Asymptomatic</v>
      </c>
      <c r="G84" s="1">
        <v>150</v>
      </c>
      <c r="H84" s="1" t="str">
        <f>IF(Table2[[#This Row],[BP]]&lt;=120, "Normal",  IF(Table2[[#This Row],[BP]]&lt;=130, "Slightly Elevated", IF(Table2[[#This Row],[BP]]&lt;=140, "High", "Very High")))</f>
        <v>Very High</v>
      </c>
      <c r="I84" s="1">
        <v>270</v>
      </c>
      <c r="J84" s="1" t="str">
        <f>IF(Table2[[#This Row],[Cholesterol]]&gt;=240, "High", "Normal")</f>
        <v>High</v>
      </c>
      <c r="K84" s="1">
        <v>0</v>
      </c>
      <c r="L84" s="1" t="str">
        <f>IF(Table2[[#This Row],[FBS over 120]]=0, "Normal", "High")</f>
        <v>Normal</v>
      </c>
      <c r="M84" s="1">
        <v>2</v>
      </c>
      <c r="N84" s="1" t="str">
        <f>IF(Table2[[#This Row],[EKG results]]=0, "Normal", "Abnormal")</f>
        <v>Abnormal</v>
      </c>
      <c r="O84" s="1">
        <v>111</v>
      </c>
      <c r="P84" s="1">
        <v>1</v>
      </c>
      <c r="Q84" s="1" t="str">
        <f>IF(Table2[[#This Row],[Exercise angina]]=0, "Normal", "Abnormal")</f>
        <v>Abnormal</v>
      </c>
      <c r="R84" s="1">
        <v>0.8</v>
      </c>
      <c r="S84" s="1">
        <v>1</v>
      </c>
      <c r="T84" s="1">
        <v>0</v>
      </c>
      <c r="U84" s="1">
        <v>7</v>
      </c>
      <c r="V84"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84" s="1" t="s">
        <v>14</v>
      </c>
    </row>
    <row r="85" spans="1:23" x14ac:dyDescent="0.35">
      <c r="A85" s="1">
        <v>41</v>
      </c>
      <c r="B85" s="1" t="str">
        <f t="shared" si="1"/>
        <v>41-50</v>
      </c>
      <c r="C85" s="1">
        <v>1</v>
      </c>
      <c r="D85" s="1" t="str">
        <f>IF(Table2[[#This Row],[Sex]]=1,"Male", "Female")</f>
        <v>Male</v>
      </c>
      <c r="E85" s="1">
        <v>3</v>
      </c>
      <c r="F85" s="1" t="str">
        <f>IF(Table2[[#This Row],[Chest pain level]]=1, "Typical Angina", IF(Table2[[#This Row],[Chest pain level]]=2, "Atypical Angina", IF(Table2[[#This Row],[Chest pain level]]=3, "Non Anginal Pain", IF(Table2[[#This Row],[Chest pain level]]=4, "Asymptomatic"))))</f>
        <v>Non Anginal Pain</v>
      </c>
      <c r="G85" s="1">
        <v>130</v>
      </c>
      <c r="H85" s="1" t="str">
        <f>IF(Table2[[#This Row],[BP]]&lt;=120, "Normal",  IF(Table2[[#This Row],[BP]]&lt;=130, "Slightly Elevated", IF(Table2[[#This Row],[BP]]&lt;=140, "High", "Very High")))</f>
        <v>Slightly Elevated</v>
      </c>
      <c r="I85" s="1">
        <v>214</v>
      </c>
      <c r="J85" s="1" t="str">
        <f>IF(Table2[[#This Row],[Cholesterol]]&gt;=240, "High", "Normal")</f>
        <v>Normal</v>
      </c>
      <c r="K85" s="1">
        <v>0</v>
      </c>
      <c r="L85" s="1" t="str">
        <f>IF(Table2[[#This Row],[FBS over 120]]=0, "Normal", "High")</f>
        <v>Normal</v>
      </c>
      <c r="M85" s="1">
        <v>2</v>
      </c>
      <c r="N85" s="1" t="str">
        <f>IF(Table2[[#This Row],[EKG results]]=0, "Normal", "Abnormal")</f>
        <v>Abnormal</v>
      </c>
      <c r="O85" s="1">
        <v>168</v>
      </c>
      <c r="P85" s="1">
        <v>0</v>
      </c>
      <c r="Q85" s="1" t="str">
        <f>IF(Table2[[#This Row],[Exercise angina]]=0, "Normal", "Abnormal")</f>
        <v>Normal</v>
      </c>
      <c r="R85" s="1">
        <v>2</v>
      </c>
      <c r="S85" s="1">
        <v>2</v>
      </c>
      <c r="T85" s="1">
        <v>0</v>
      </c>
      <c r="U85" s="1">
        <v>3</v>
      </c>
      <c r="V85"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85" s="1" t="s">
        <v>15</v>
      </c>
    </row>
    <row r="86" spans="1:23" x14ac:dyDescent="0.35">
      <c r="A86" s="1">
        <v>57</v>
      </c>
      <c r="B86" s="1" t="str">
        <f t="shared" si="1"/>
        <v>51-60</v>
      </c>
      <c r="C86" s="1">
        <v>1</v>
      </c>
      <c r="D86" s="1" t="str">
        <f>IF(Table2[[#This Row],[Sex]]=1,"Male", "Female")</f>
        <v>Male</v>
      </c>
      <c r="E86" s="1">
        <v>4</v>
      </c>
      <c r="F86" s="1" t="str">
        <f>IF(Table2[[#This Row],[Chest pain level]]=1, "Typical Angina", IF(Table2[[#This Row],[Chest pain level]]=2, "Atypical Angina", IF(Table2[[#This Row],[Chest pain level]]=3, "Non Anginal Pain", IF(Table2[[#This Row],[Chest pain level]]=4, "Asymptomatic"))))</f>
        <v>Asymptomatic</v>
      </c>
      <c r="G86" s="1">
        <v>110</v>
      </c>
      <c r="H86" s="1" t="str">
        <f>IF(Table2[[#This Row],[BP]]&lt;=120, "Normal",  IF(Table2[[#This Row],[BP]]&lt;=130, "Slightly Elevated", IF(Table2[[#This Row],[BP]]&lt;=140, "High", "Very High")))</f>
        <v>Normal</v>
      </c>
      <c r="I86" s="1">
        <v>201</v>
      </c>
      <c r="J86" s="1" t="str">
        <f>IF(Table2[[#This Row],[Cholesterol]]&gt;=240, "High", "Normal")</f>
        <v>Normal</v>
      </c>
      <c r="K86" s="1">
        <v>0</v>
      </c>
      <c r="L86" s="1" t="str">
        <f>IF(Table2[[#This Row],[FBS over 120]]=0, "Normal", "High")</f>
        <v>Normal</v>
      </c>
      <c r="M86" s="1">
        <v>0</v>
      </c>
      <c r="N86" s="1" t="str">
        <f>IF(Table2[[#This Row],[EKG results]]=0, "Normal", "Abnormal")</f>
        <v>Normal</v>
      </c>
      <c r="O86" s="1">
        <v>126</v>
      </c>
      <c r="P86" s="1">
        <v>1</v>
      </c>
      <c r="Q86" s="1" t="str">
        <f>IF(Table2[[#This Row],[Exercise angina]]=0, "Normal", "Abnormal")</f>
        <v>Abnormal</v>
      </c>
      <c r="R86" s="1">
        <v>1.5</v>
      </c>
      <c r="S86" s="1">
        <v>2</v>
      </c>
      <c r="T86" s="1">
        <v>0</v>
      </c>
      <c r="U86" s="1">
        <v>6</v>
      </c>
      <c r="V86"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86" s="1" t="s">
        <v>15</v>
      </c>
    </row>
    <row r="87" spans="1:23" x14ac:dyDescent="0.35">
      <c r="A87" s="1">
        <v>42</v>
      </c>
      <c r="B87" s="1" t="str">
        <f t="shared" si="1"/>
        <v>41-50</v>
      </c>
      <c r="C87" s="1">
        <v>1</v>
      </c>
      <c r="D87" s="1" t="str">
        <f>IF(Table2[[#This Row],[Sex]]=1,"Male", "Female")</f>
        <v>Male</v>
      </c>
      <c r="E87" s="1">
        <v>1</v>
      </c>
      <c r="F87" s="1" t="str">
        <f>IF(Table2[[#This Row],[Chest pain level]]=1, "Typical Angina", IF(Table2[[#This Row],[Chest pain level]]=2, "Atypical Angina", IF(Table2[[#This Row],[Chest pain level]]=3, "Non Anginal Pain", IF(Table2[[#This Row],[Chest pain level]]=4, "Asymptomatic"))))</f>
        <v>Typical Angina</v>
      </c>
      <c r="G87" s="1">
        <v>148</v>
      </c>
      <c r="H87" s="1" t="str">
        <f>IF(Table2[[#This Row],[BP]]&lt;=120, "Normal",  IF(Table2[[#This Row],[BP]]&lt;=130, "Slightly Elevated", IF(Table2[[#This Row],[BP]]&lt;=140, "High", "Very High")))</f>
        <v>Very High</v>
      </c>
      <c r="I87" s="1">
        <v>244</v>
      </c>
      <c r="J87" s="1" t="str">
        <f>IF(Table2[[#This Row],[Cholesterol]]&gt;=240, "High", "Normal")</f>
        <v>High</v>
      </c>
      <c r="K87" s="1">
        <v>0</v>
      </c>
      <c r="L87" s="1" t="str">
        <f>IF(Table2[[#This Row],[FBS over 120]]=0, "Normal", "High")</f>
        <v>Normal</v>
      </c>
      <c r="M87" s="1">
        <v>2</v>
      </c>
      <c r="N87" s="1" t="str">
        <f>IF(Table2[[#This Row],[EKG results]]=0, "Normal", "Abnormal")</f>
        <v>Abnormal</v>
      </c>
      <c r="O87" s="1">
        <v>178</v>
      </c>
      <c r="P87" s="1">
        <v>0</v>
      </c>
      <c r="Q87" s="1" t="str">
        <f>IF(Table2[[#This Row],[Exercise angina]]=0, "Normal", "Abnormal")</f>
        <v>Normal</v>
      </c>
      <c r="R87" s="1">
        <v>0.8</v>
      </c>
      <c r="S87" s="1">
        <v>1</v>
      </c>
      <c r="T87" s="1">
        <v>2</v>
      </c>
      <c r="U87" s="1">
        <v>3</v>
      </c>
      <c r="V87"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87" s="1" t="s">
        <v>15</v>
      </c>
    </row>
    <row r="88" spans="1:23" x14ac:dyDescent="0.35">
      <c r="A88" s="1">
        <v>62</v>
      </c>
      <c r="B88" s="1" t="str">
        <f t="shared" si="1"/>
        <v>61-70</v>
      </c>
      <c r="C88" s="1">
        <v>1</v>
      </c>
      <c r="D88" s="1" t="str">
        <f>IF(Table2[[#This Row],[Sex]]=1,"Male", "Female")</f>
        <v>Male</v>
      </c>
      <c r="E88" s="1">
        <v>2</v>
      </c>
      <c r="F88" s="1" t="str">
        <f>IF(Table2[[#This Row],[Chest pain level]]=1, "Typical Angina", IF(Table2[[#This Row],[Chest pain level]]=2, "Atypical Angina", IF(Table2[[#This Row],[Chest pain level]]=3, "Non Anginal Pain", IF(Table2[[#This Row],[Chest pain level]]=4, "Asymptomatic"))))</f>
        <v>Atypical Angina</v>
      </c>
      <c r="G88" s="1">
        <v>128</v>
      </c>
      <c r="H88" s="1" t="str">
        <f>IF(Table2[[#This Row],[BP]]&lt;=120, "Normal",  IF(Table2[[#This Row],[BP]]&lt;=130, "Slightly Elevated", IF(Table2[[#This Row],[BP]]&lt;=140, "High", "Very High")))</f>
        <v>Slightly Elevated</v>
      </c>
      <c r="I88" s="1">
        <v>208</v>
      </c>
      <c r="J88" s="1" t="str">
        <f>IF(Table2[[#This Row],[Cholesterol]]&gt;=240, "High", "Normal")</f>
        <v>Normal</v>
      </c>
      <c r="K88" s="1">
        <v>1</v>
      </c>
      <c r="L88" s="1" t="str">
        <f>IF(Table2[[#This Row],[FBS over 120]]=0, "Normal", "High")</f>
        <v>High</v>
      </c>
      <c r="M88" s="1">
        <v>2</v>
      </c>
      <c r="N88" s="1" t="str">
        <f>IF(Table2[[#This Row],[EKG results]]=0, "Normal", "Abnormal")</f>
        <v>Abnormal</v>
      </c>
      <c r="O88" s="1">
        <v>140</v>
      </c>
      <c r="P88" s="1">
        <v>0</v>
      </c>
      <c r="Q88" s="1" t="str">
        <f>IF(Table2[[#This Row],[Exercise angina]]=0, "Normal", "Abnormal")</f>
        <v>Normal</v>
      </c>
      <c r="R88" s="1">
        <v>0</v>
      </c>
      <c r="S88" s="1">
        <v>1</v>
      </c>
      <c r="T88" s="1">
        <v>0</v>
      </c>
      <c r="U88" s="1">
        <v>3</v>
      </c>
      <c r="V88"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88" s="1" t="s">
        <v>15</v>
      </c>
    </row>
    <row r="89" spans="1:23" x14ac:dyDescent="0.35">
      <c r="A89" s="1">
        <v>59</v>
      </c>
      <c r="B89" s="1" t="str">
        <f t="shared" si="1"/>
        <v>51-60</v>
      </c>
      <c r="C89" s="1">
        <v>1</v>
      </c>
      <c r="D89" s="1" t="str">
        <f>IF(Table2[[#This Row],[Sex]]=1,"Male", "Female")</f>
        <v>Male</v>
      </c>
      <c r="E89" s="1">
        <v>1</v>
      </c>
      <c r="F89" s="1" t="str">
        <f>IF(Table2[[#This Row],[Chest pain level]]=1, "Typical Angina", IF(Table2[[#This Row],[Chest pain level]]=2, "Atypical Angina", IF(Table2[[#This Row],[Chest pain level]]=3, "Non Anginal Pain", IF(Table2[[#This Row],[Chest pain level]]=4, "Asymptomatic"))))</f>
        <v>Typical Angina</v>
      </c>
      <c r="G89" s="1">
        <v>178</v>
      </c>
      <c r="H89" s="1" t="str">
        <f>IF(Table2[[#This Row],[BP]]&lt;=120, "Normal",  IF(Table2[[#This Row],[BP]]&lt;=130, "Slightly Elevated", IF(Table2[[#This Row],[BP]]&lt;=140, "High", "Very High")))</f>
        <v>Very High</v>
      </c>
      <c r="I89" s="1">
        <v>270</v>
      </c>
      <c r="J89" s="1" t="str">
        <f>IF(Table2[[#This Row],[Cholesterol]]&gt;=240, "High", "Normal")</f>
        <v>High</v>
      </c>
      <c r="K89" s="1">
        <v>0</v>
      </c>
      <c r="L89" s="1" t="str">
        <f>IF(Table2[[#This Row],[FBS over 120]]=0, "Normal", "High")</f>
        <v>Normal</v>
      </c>
      <c r="M89" s="1">
        <v>2</v>
      </c>
      <c r="N89" s="1" t="str">
        <f>IF(Table2[[#This Row],[EKG results]]=0, "Normal", "Abnormal")</f>
        <v>Abnormal</v>
      </c>
      <c r="O89" s="1">
        <v>145</v>
      </c>
      <c r="P89" s="1">
        <v>0</v>
      </c>
      <c r="Q89" s="1" t="str">
        <f>IF(Table2[[#This Row],[Exercise angina]]=0, "Normal", "Abnormal")</f>
        <v>Normal</v>
      </c>
      <c r="R89" s="1">
        <v>4.2</v>
      </c>
      <c r="S89" s="1">
        <v>3</v>
      </c>
      <c r="T89" s="1">
        <v>0</v>
      </c>
      <c r="U89" s="1">
        <v>7</v>
      </c>
      <c r="V89"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89" s="1" t="s">
        <v>15</v>
      </c>
    </row>
    <row r="90" spans="1:23" x14ac:dyDescent="0.35">
      <c r="A90" s="1">
        <v>41</v>
      </c>
      <c r="B90" s="1" t="str">
        <f t="shared" si="1"/>
        <v>41-50</v>
      </c>
      <c r="C90" s="1">
        <v>0</v>
      </c>
      <c r="D90" s="1" t="str">
        <f>IF(Table2[[#This Row],[Sex]]=1,"Male", "Female")</f>
        <v>Female</v>
      </c>
      <c r="E90" s="1">
        <v>2</v>
      </c>
      <c r="F90" s="1" t="str">
        <f>IF(Table2[[#This Row],[Chest pain level]]=1, "Typical Angina", IF(Table2[[#This Row],[Chest pain level]]=2, "Atypical Angina", IF(Table2[[#This Row],[Chest pain level]]=3, "Non Anginal Pain", IF(Table2[[#This Row],[Chest pain level]]=4, "Asymptomatic"))))</f>
        <v>Atypical Angina</v>
      </c>
      <c r="G90" s="1">
        <v>126</v>
      </c>
      <c r="H90" s="1" t="str">
        <f>IF(Table2[[#This Row],[BP]]&lt;=120, "Normal",  IF(Table2[[#This Row],[BP]]&lt;=130, "Slightly Elevated", IF(Table2[[#This Row],[BP]]&lt;=140, "High", "Very High")))</f>
        <v>Slightly Elevated</v>
      </c>
      <c r="I90" s="1">
        <v>306</v>
      </c>
      <c r="J90" s="1" t="str">
        <f>IF(Table2[[#This Row],[Cholesterol]]&gt;=240, "High", "Normal")</f>
        <v>High</v>
      </c>
      <c r="K90" s="1">
        <v>0</v>
      </c>
      <c r="L90" s="1" t="str">
        <f>IF(Table2[[#This Row],[FBS over 120]]=0, "Normal", "High")</f>
        <v>Normal</v>
      </c>
      <c r="M90" s="1">
        <v>0</v>
      </c>
      <c r="N90" s="1" t="str">
        <f>IF(Table2[[#This Row],[EKG results]]=0, "Normal", "Abnormal")</f>
        <v>Normal</v>
      </c>
      <c r="O90" s="1">
        <v>163</v>
      </c>
      <c r="P90" s="1">
        <v>0</v>
      </c>
      <c r="Q90" s="1" t="str">
        <f>IF(Table2[[#This Row],[Exercise angina]]=0, "Normal", "Abnormal")</f>
        <v>Normal</v>
      </c>
      <c r="R90" s="1">
        <v>0</v>
      </c>
      <c r="S90" s="1">
        <v>1</v>
      </c>
      <c r="T90" s="1">
        <v>0</v>
      </c>
      <c r="U90" s="1">
        <v>3</v>
      </c>
      <c r="V90"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90" s="1" t="s">
        <v>15</v>
      </c>
    </row>
    <row r="91" spans="1:23" x14ac:dyDescent="0.35">
      <c r="A91" s="1">
        <v>50</v>
      </c>
      <c r="B91" s="1" t="str">
        <f t="shared" si="1"/>
        <v>41-50</v>
      </c>
      <c r="C91" s="1">
        <v>1</v>
      </c>
      <c r="D91" s="1" t="str">
        <f>IF(Table2[[#This Row],[Sex]]=1,"Male", "Female")</f>
        <v>Male</v>
      </c>
      <c r="E91" s="1">
        <v>4</v>
      </c>
      <c r="F91" s="1" t="str">
        <f>IF(Table2[[#This Row],[Chest pain level]]=1, "Typical Angina", IF(Table2[[#This Row],[Chest pain level]]=2, "Atypical Angina", IF(Table2[[#This Row],[Chest pain level]]=3, "Non Anginal Pain", IF(Table2[[#This Row],[Chest pain level]]=4, "Asymptomatic"))))</f>
        <v>Asymptomatic</v>
      </c>
      <c r="G91" s="1">
        <v>150</v>
      </c>
      <c r="H91" s="1" t="str">
        <f>IF(Table2[[#This Row],[BP]]&lt;=120, "Normal",  IF(Table2[[#This Row],[BP]]&lt;=130, "Slightly Elevated", IF(Table2[[#This Row],[BP]]&lt;=140, "High", "Very High")))</f>
        <v>Very High</v>
      </c>
      <c r="I91" s="1">
        <v>243</v>
      </c>
      <c r="J91" s="1" t="str">
        <f>IF(Table2[[#This Row],[Cholesterol]]&gt;=240, "High", "Normal")</f>
        <v>High</v>
      </c>
      <c r="K91" s="1">
        <v>0</v>
      </c>
      <c r="L91" s="1" t="str">
        <f>IF(Table2[[#This Row],[FBS over 120]]=0, "Normal", "High")</f>
        <v>Normal</v>
      </c>
      <c r="M91" s="1">
        <v>2</v>
      </c>
      <c r="N91" s="1" t="str">
        <f>IF(Table2[[#This Row],[EKG results]]=0, "Normal", "Abnormal")</f>
        <v>Abnormal</v>
      </c>
      <c r="O91" s="1">
        <v>128</v>
      </c>
      <c r="P91" s="1">
        <v>0</v>
      </c>
      <c r="Q91" s="1" t="str">
        <f>IF(Table2[[#This Row],[Exercise angina]]=0, "Normal", "Abnormal")</f>
        <v>Normal</v>
      </c>
      <c r="R91" s="1">
        <v>2.6</v>
      </c>
      <c r="S91" s="1">
        <v>2</v>
      </c>
      <c r="T91" s="1">
        <v>0</v>
      </c>
      <c r="U91" s="1">
        <v>7</v>
      </c>
      <c r="V91"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91" s="1" t="s">
        <v>14</v>
      </c>
    </row>
    <row r="92" spans="1:23" x14ac:dyDescent="0.35">
      <c r="A92" s="1">
        <v>59</v>
      </c>
      <c r="B92" s="1" t="str">
        <f t="shared" si="1"/>
        <v>51-60</v>
      </c>
      <c r="C92" s="1">
        <v>1</v>
      </c>
      <c r="D92" s="1" t="str">
        <f>IF(Table2[[#This Row],[Sex]]=1,"Male", "Female")</f>
        <v>Male</v>
      </c>
      <c r="E92" s="1">
        <v>2</v>
      </c>
      <c r="F92" s="1" t="str">
        <f>IF(Table2[[#This Row],[Chest pain level]]=1, "Typical Angina", IF(Table2[[#This Row],[Chest pain level]]=2, "Atypical Angina", IF(Table2[[#This Row],[Chest pain level]]=3, "Non Anginal Pain", IF(Table2[[#This Row],[Chest pain level]]=4, "Asymptomatic"))))</f>
        <v>Atypical Angina</v>
      </c>
      <c r="G92" s="1">
        <v>140</v>
      </c>
      <c r="H92" s="1" t="str">
        <f>IF(Table2[[#This Row],[BP]]&lt;=120, "Normal",  IF(Table2[[#This Row],[BP]]&lt;=130, "Slightly Elevated", IF(Table2[[#This Row],[BP]]&lt;=140, "High", "Very High")))</f>
        <v>High</v>
      </c>
      <c r="I92" s="1">
        <v>221</v>
      </c>
      <c r="J92" s="1" t="str">
        <f>IF(Table2[[#This Row],[Cholesterol]]&gt;=240, "High", "Normal")</f>
        <v>Normal</v>
      </c>
      <c r="K92" s="1">
        <v>0</v>
      </c>
      <c r="L92" s="1" t="str">
        <f>IF(Table2[[#This Row],[FBS over 120]]=0, "Normal", "High")</f>
        <v>Normal</v>
      </c>
      <c r="M92" s="1">
        <v>0</v>
      </c>
      <c r="N92" s="1" t="str">
        <f>IF(Table2[[#This Row],[EKG results]]=0, "Normal", "Abnormal")</f>
        <v>Normal</v>
      </c>
      <c r="O92" s="1">
        <v>164</v>
      </c>
      <c r="P92" s="1">
        <v>1</v>
      </c>
      <c r="Q92" s="1" t="str">
        <f>IF(Table2[[#This Row],[Exercise angina]]=0, "Normal", "Abnormal")</f>
        <v>Abnormal</v>
      </c>
      <c r="R92" s="1">
        <v>0</v>
      </c>
      <c r="S92" s="1">
        <v>1</v>
      </c>
      <c r="T92" s="1">
        <v>0</v>
      </c>
      <c r="U92" s="1">
        <v>3</v>
      </c>
      <c r="V92"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92" s="1" t="s">
        <v>15</v>
      </c>
    </row>
    <row r="93" spans="1:23" x14ac:dyDescent="0.35">
      <c r="A93" s="1">
        <v>61</v>
      </c>
      <c r="B93" s="1" t="str">
        <f t="shared" si="1"/>
        <v>61-70</v>
      </c>
      <c r="C93" s="1">
        <v>0</v>
      </c>
      <c r="D93" s="1" t="str">
        <f>IF(Table2[[#This Row],[Sex]]=1,"Male", "Female")</f>
        <v>Female</v>
      </c>
      <c r="E93" s="1">
        <v>4</v>
      </c>
      <c r="F93" s="1" t="str">
        <f>IF(Table2[[#This Row],[Chest pain level]]=1, "Typical Angina", IF(Table2[[#This Row],[Chest pain level]]=2, "Atypical Angina", IF(Table2[[#This Row],[Chest pain level]]=3, "Non Anginal Pain", IF(Table2[[#This Row],[Chest pain level]]=4, "Asymptomatic"))))</f>
        <v>Asymptomatic</v>
      </c>
      <c r="G93" s="1">
        <v>130</v>
      </c>
      <c r="H93" s="1" t="str">
        <f>IF(Table2[[#This Row],[BP]]&lt;=120, "Normal",  IF(Table2[[#This Row],[BP]]&lt;=130, "Slightly Elevated", IF(Table2[[#This Row],[BP]]&lt;=140, "High", "Very High")))</f>
        <v>Slightly Elevated</v>
      </c>
      <c r="I93" s="1">
        <v>330</v>
      </c>
      <c r="J93" s="1" t="str">
        <f>IF(Table2[[#This Row],[Cholesterol]]&gt;=240, "High", "Normal")</f>
        <v>High</v>
      </c>
      <c r="K93" s="1">
        <v>0</v>
      </c>
      <c r="L93" s="1" t="str">
        <f>IF(Table2[[#This Row],[FBS over 120]]=0, "Normal", "High")</f>
        <v>Normal</v>
      </c>
      <c r="M93" s="1">
        <v>2</v>
      </c>
      <c r="N93" s="1" t="str">
        <f>IF(Table2[[#This Row],[EKG results]]=0, "Normal", "Abnormal")</f>
        <v>Abnormal</v>
      </c>
      <c r="O93" s="1">
        <v>169</v>
      </c>
      <c r="P93" s="1">
        <v>0</v>
      </c>
      <c r="Q93" s="1" t="str">
        <f>IF(Table2[[#This Row],[Exercise angina]]=0, "Normal", "Abnormal")</f>
        <v>Normal</v>
      </c>
      <c r="R93" s="1">
        <v>0</v>
      </c>
      <c r="S93" s="1">
        <v>1</v>
      </c>
      <c r="T93" s="1">
        <v>0</v>
      </c>
      <c r="U93" s="1">
        <v>3</v>
      </c>
      <c r="V93"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93" s="1" t="s">
        <v>14</v>
      </c>
    </row>
    <row r="94" spans="1:23" x14ac:dyDescent="0.35">
      <c r="A94" s="1">
        <v>54</v>
      </c>
      <c r="B94" s="1" t="str">
        <f t="shared" si="1"/>
        <v>51-60</v>
      </c>
      <c r="C94" s="1">
        <v>1</v>
      </c>
      <c r="D94" s="1" t="str">
        <f>IF(Table2[[#This Row],[Sex]]=1,"Male", "Female")</f>
        <v>Male</v>
      </c>
      <c r="E94" s="1">
        <v>4</v>
      </c>
      <c r="F94" s="1" t="str">
        <f>IF(Table2[[#This Row],[Chest pain level]]=1, "Typical Angina", IF(Table2[[#This Row],[Chest pain level]]=2, "Atypical Angina", IF(Table2[[#This Row],[Chest pain level]]=3, "Non Anginal Pain", IF(Table2[[#This Row],[Chest pain level]]=4, "Asymptomatic"))))</f>
        <v>Asymptomatic</v>
      </c>
      <c r="G94" s="1">
        <v>124</v>
      </c>
      <c r="H94" s="1" t="str">
        <f>IF(Table2[[#This Row],[BP]]&lt;=120, "Normal",  IF(Table2[[#This Row],[BP]]&lt;=130, "Slightly Elevated", IF(Table2[[#This Row],[BP]]&lt;=140, "High", "Very High")))</f>
        <v>Slightly Elevated</v>
      </c>
      <c r="I94" s="1">
        <v>266</v>
      </c>
      <c r="J94" s="1" t="str">
        <f>IF(Table2[[#This Row],[Cholesterol]]&gt;=240, "High", "Normal")</f>
        <v>High</v>
      </c>
      <c r="K94" s="1">
        <v>0</v>
      </c>
      <c r="L94" s="1" t="str">
        <f>IF(Table2[[#This Row],[FBS over 120]]=0, "Normal", "High")</f>
        <v>Normal</v>
      </c>
      <c r="M94" s="1">
        <v>2</v>
      </c>
      <c r="N94" s="1" t="str">
        <f>IF(Table2[[#This Row],[EKG results]]=0, "Normal", "Abnormal")</f>
        <v>Abnormal</v>
      </c>
      <c r="O94" s="1">
        <v>109</v>
      </c>
      <c r="P94" s="1">
        <v>1</v>
      </c>
      <c r="Q94" s="1" t="str">
        <f>IF(Table2[[#This Row],[Exercise angina]]=0, "Normal", "Abnormal")</f>
        <v>Abnormal</v>
      </c>
      <c r="R94" s="1">
        <v>2.2000000000000002</v>
      </c>
      <c r="S94" s="1">
        <v>2</v>
      </c>
      <c r="T94" s="1">
        <v>1</v>
      </c>
      <c r="U94" s="1">
        <v>7</v>
      </c>
      <c r="V94"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94" s="1" t="s">
        <v>14</v>
      </c>
    </row>
    <row r="95" spans="1:23" x14ac:dyDescent="0.35">
      <c r="A95" s="1">
        <v>54</v>
      </c>
      <c r="B95" s="1" t="str">
        <f t="shared" si="1"/>
        <v>51-60</v>
      </c>
      <c r="C95" s="1">
        <v>1</v>
      </c>
      <c r="D95" s="1" t="str">
        <f>IF(Table2[[#This Row],[Sex]]=1,"Male", "Female")</f>
        <v>Male</v>
      </c>
      <c r="E95" s="1">
        <v>4</v>
      </c>
      <c r="F95" s="1" t="str">
        <f>IF(Table2[[#This Row],[Chest pain level]]=1, "Typical Angina", IF(Table2[[#This Row],[Chest pain level]]=2, "Atypical Angina", IF(Table2[[#This Row],[Chest pain level]]=3, "Non Anginal Pain", IF(Table2[[#This Row],[Chest pain level]]=4, "Asymptomatic"))))</f>
        <v>Asymptomatic</v>
      </c>
      <c r="G95" s="1">
        <v>110</v>
      </c>
      <c r="H95" s="1" t="str">
        <f>IF(Table2[[#This Row],[BP]]&lt;=120, "Normal",  IF(Table2[[#This Row],[BP]]&lt;=130, "Slightly Elevated", IF(Table2[[#This Row],[BP]]&lt;=140, "High", "Very High")))</f>
        <v>Normal</v>
      </c>
      <c r="I95" s="1">
        <v>206</v>
      </c>
      <c r="J95" s="1" t="str">
        <f>IF(Table2[[#This Row],[Cholesterol]]&gt;=240, "High", "Normal")</f>
        <v>Normal</v>
      </c>
      <c r="K95" s="1">
        <v>0</v>
      </c>
      <c r="L95" s="1" t="str">
        <f>IF(Table2[[#This Row],[FBS over 120]]=0, "Normal", "High")</f>
        <v>Normal</v>
      </c>
      <c r="M95" s="1">
        <v>2</v>
      </c>
      <c r="N95" s="1" t="str">
        <f>IF(Table2[[#This Row],[EKG results]]=0, "Normal", "Abnormal")</f>
        <v>Abnormal</v>
      </c>
      <c r="O95" s="1">
        <v>108</v>
      </c>
      <c r="P95" s="1">
        <v>1</v>
      </c>
      <c r="Q95" s="1" t="str">
        <f>IF(Table2[[#This Row],[Exercise angina]]=0, "Normal", "Abnormal")</f>
        <v>Abnormal</v>
      </c>
      <c r="R95" s="1">
        <v>0</v>
      </c>
      <c r="S95" s="1">
        <v>2</v>
      </c>
      <c r="T95" s="1">
        <v>1</v>
      </c>
      <c r="U95" s="1">
        <v>3</v>
      </c>
      <c r="V95"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95" s="1" t="s">
        <v>14</v>
      </c>
    </row>
    <row r="96" spans="1:23" x14ac:dyDescent="0.35">
      <c r="A96" s="1">
        <v>52</v>
      </c>
      <c r="B96" s="1" t="str">
        <f t="shared" si="1"/>
        <v>51-60</v>
      </c>
      <c r="C96" s="1">
        <v>1</v>
      </c>
      <c r="D96" s="1" t="str">
        <f>IF(Table2[[#This Row],[Sex]]=1,"Male", "Female")</f>
        <v>Male</v>
      </c>
      <c r="E96" s="1">
        <v>4</v>
      </c>
      <c r="F96" s="1" t="str">
        <f>IF(Table2[[#This Row],[Chest pain level]]=1, "Typical Angina", IF(Table2[[#This Row],[Chest pain level]]=2, "Atypical Angina", IF(Table2[[#This Row],[Chest pain level]]=3, "Non Anginal Pain", IF(Table2[[#This Row],[Chest pain level]]=4, "Asymptomatic"))))</f>
        <v>Asymptomatic</v>
      </c>
      <c r="G96" s="1">
        <v>125</v>
      </c>
      <c r="H96" s="1" t="str">
        <f>IF(Table2[[#This Row],[BP]]&lt;=120, "Normal",  IF(Table2[[#This Row],[BP]]&lt;=130, "Slightly Elevated", IF(Table2[[#This Row],[BP]]&lt;=140, "High", "Very High")))</f>
        <v>Slightly Elevated</v>
      </c>
      <c r="I96" s="1">
        <v>212</v>
      </c>
      <c r="J96" s="1" t="str">
        <f>IF(Table2[[#This Row],[Cholesterol]]&gt;=240, "High", "Normal")</f>
        <v>Normal</v>
      </c>
      <c r="K96" s="1">
        <v>0</v>
      </c>
      <c r="L96" s="1" t="str">
        <f>IF(Table2[[#This Row],[FBS over 120]]=0, "Normal", "High")</f>
        <v>Normal</v>
      </c>
      <c r="M96" s="1">
        <v>0</v>
      </c>
      <c r="N96" s="1" t="str">
        <f>IF(Table2[[#This Row],[EKG results]]=0, "Normal", "Abnormal")</f>
        <v>Normal</v>
      </c>
      <c r="O96" s="1">
        <v>168</v>
      </c>
      <c r="P96" s="1">
        <v>0</v>
      </c>
      <c r="Q96" s="1" t="str">
        <f>IF(Table2[[#This Row],[Exercise angina]]=0, "Normal", "Abnormal")</f>
        <v>Normal</v>
      </c>
      <c r="R96" s="1">
        <v>1</v>
      </c>
      <c r="S96" s="1">
        <v>1</v>
      </c>
      <c r="T96" s="1">
        <v>2</v>
      </c>
      <c r="U96" s="1">
        <v>7</v>
      </c>
      <c r="V96"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96" s="1" t="s">
        <v>14</v>
      </c>
    </row>
    <row r="97" spans="1:23" x14ac:dyDescent="0.35">
      <c r="A97" s="1">
        <v>47</v>
      </c>
      <c r="B97" s="1" t="str">
        <f t="shared" si="1"/>
        <v>41-50</v>
      </c>
      <c r="C97" s="1">
        <v>1</v>
      </c>
      <c r="D97" s="1" t="str">
        <f>IF(Table2[[#This Row],[Sex]]=1,"Male", "Female")</f>
        <v>Male</v>
      </c>
      <c r="E97" s="1">
        <v>4</v>
      </c>
      <c r="F97" s="1" t="str">
        <f>IF(Table2[[#This Row],[Chest pain level]]=1, "Typical Angina", IF(Table2[[#This Row],[Chest pain level]]=2, "Atypical Angina", IF(Table2[[#This Row],[Chest pain level]]=3, "Non Anginal Pain", IF(Table2[[#This Row],[Chest pain level]]=4, "Asymptomatic"))))</f>
        <v>Asymptomatic</v>
      </c>
      <c r="G97" s="1">
        <v>110</v>
      </c>
      <c r="H97" s="1" t="str">
        <f>IF(Table2[[#This Row],[BP]]&lt;=120, "Normal",  IF(Table2[[#This Row],[BP]]&lt;=130, "Slightly Elevated", IF(Table2[[#This Row],[BP]]&lt;=140, "High", "Very High")))</f>
        <v>Normal</v>
      </c>
      <c r="I97" s="1">
        <v>275</v>
      </c>
      <c r="J97" s="1" t="str">
        <f>IF(Table2[[#This Row],[Cholesterol]]&gt;=240, "High", "Normal")</f>
        <v>High</v>
      </c>
      <c r="K97" s="1">
        <v>0</v>
      </c>
      <c r="L97" s="1" t="str">
        <f>IF(Table2[[#This Row],[FBS over 120]]=0, "Normal", "High")</f>
        <v>Normal</v>
      </c>
      <c r="M97" s="1">
        <v>2</v>
      </c>
      <c r="N97" s="1" t="str">
        <f>IF(Table2[[#This Row],[EKG results]]=0, "Normal", "Abnormal")</f>
        <v>Abnormal</v>
      </c>
      <c r="O97" s="1">
        <v>118</v>
      </c>
      <c r="P97" s="1">
        <v>1</v>
      </c>
      <c r="Q97" s="1" t="str">
        <f>IF(Table2[[#This Row],[Exercise angina]]=0, "Normal", "Abnormal")</f>
        <v>Abnormal</v>
      </c>
      <c r="R97" s="1">
        <v>1</v>
      </c>
      <c r="S97" s="1">
        <v>2</v>
      </c>
      <c r="T97" s="1">
        <v>1</v>
      </c>
      <c r="U97" s="1">
        <v>3</v>
      </c>
      <c r="V97"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97" s="1" t="s">
        <v>14</v>
      </c>
    </row>
    <row r="98" spans="1:23" x14ac:dyDescent="0.35">
      <c r="A98" s="1">
        <v>66</v>
      </c>
      <c r="B98" s="1" t="str">
        <f t="shared" si="1"/>
        <v>61-70</v>
      </c>
      <c r="C98" s="1">
        <v>1</v>
      </c>
      <c r="D98" s="1" t="str">
        <f>IF(Table2[[#This Row],[Sex]]=1,"Male", "Female")</f>
        <v>Male</v>
      </c>
      <c r="E98" s="1">
        <v>4</v>
      </c>
      <c r="F98" s="1" t="str">
        <f>IF(Table2[[#This Row],[Chest pain level]]=1, "Typical Angina", IF(Table2[[#This Row],[Chest pain level]]=2, "Atypical Angina", IF(Table2[[#This Row],[Chest pain level]]=3, "Non Anginal Pain", IF(Table2[[#This Row],[Chest pain level]]=4, "Asymptomatic"))))</f>
        <v>Asymptomatic</v>
      </c>
      <c r="G98" s="1">
        <v>120</v>
      </c>
      <c r="H98" s="1" t="str">
        <f>IF(Table2[[#This Row],[BP]]&lt;=120, "Normal",  IF(Table2[[#This Row],[BP]]&lt;=130, "Slightly Elevated", IF(Table2[[#This Row],[BP]]&lt;=140, "High", "Very High")))</f>
        <v>Normal</v>
      </c>
      <c r="I98" s="1">
        <v>302</v>
      </c>
      <c r="J98" s="1" t="str">
        <f>IF(Table2[[#This Row],[Cholesterol]]&gt;=240, "High", "Normal")</f>
        <v>High</v>
      </c>
      <c r="K98" s="1">
        <v>0</v>
      </c>
      <c r="L98" s="1" t="str">
        <f>IF(Table2[[#This Row],[FBS over 120]]=0, "Normal", "High")</f>
        <v>Normal</v>
      </c>
      <c r="M98" s="1">
        <v>2</v>
      </c>
      <c r="N98" s="1" t="str">
        <f>IF(Table2[[#This Row],[EKG results]]=0, "Normal", "Abnormal")</f>
        <v>Abnormal</v>
      </c>
      <c r="O98" s="1">
        <v>151</v>
      </c>
      <c r="P98" s="1">
        <v>0</v>
      </c>
      <c r="Q98" s="1" t="str">
        <f>IF(Table2[[#This Row],[Exercise angina]]=0, "Normal", "Abnormal")</f>
        <v>Normal</v>
      </c>
      <c r="R98" s="1">
        <v>0.4</v>
      </c>
      <c r="S98" s="1">
        <v>2</v>
      </c>
      <c r="T98" s="1">
        <v>0</v>
      </c>
      <c r="U98" s="1">
        <v>3</v>
      </c>
      <c r="V98"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98" s="1" t="s">
        <v>15</v>
      </c>
    </row>
    <row r="99" spans="1:23" x14ac:dyDescent="0.35">
      <c r="A99" s="1">
        <v>58</v>
      </c>
      <c r="B99" s="1" t="str">
        <f t="shared" si="1"/>
        <v>51-60</v>
      </c>
      <c r="C99" s="1">
        <v>1</v>
      </c>
      <c r="D99" s="1" t="str">
        <f>IF(Table2[[#This Row],[Sex]]=1,"Male", "Female")</f>
        <v>Male</v>
      </c>
      <c r="E99" s="1">
        <v>4</v>
      </c>
      <c r="F99" s="1" t="str">
        <f>IF(Table2[[#This Row],[Chest pain level]]=1, "Typical Angina", IF(Table2[[#This Row],[Chest pain level]]=2, "Atypical Angina", IF(Table2[[#This Row],[Chest pain level]]=3, "Non Anginal Pain", IF(Table2[[#This Row],[Chest pain level]]=4, "Asymptomatic"))))</f>
        <v>Asymptomatic</v>
      </c>
      <c r="G99" s="1">
        <v>100</v>
      </c>
      <c r="H99" s="1" t="str">
        <f>IF(Table2[[#This Row],[BP]]&lt;=120, "Normal",  IF(Table2[[#This Row],[BP]]&lt;=130, "Slightly Elevated", IF(Table2[[#This Row],[BP]]&lt;=140, "High", "Very High")))</f>
        <v>Normal</v>
      </c>
      <c r="I99" s="1">
        <v>234</v>
      </c>
      <c r="J99" s="1" t="str">
        <f>IF(Table2[[#This Row],[Cholesterol]]&gt;=240, "High", "Normal")</f>
        <v>Normal</v>
      </c>
      <c r="K99" s="1">
        <v>0</v>
      </c>
      <c r="L99" s="1" t="str">
        <f>IF(Table2[[#This Row],[FBS over 120]]=0, "Normal", "High")</f>
        <v>Normal</v>
      </c>
      <c r="M99" s="1">
        <v>0</v>
      </c>
      <c r="N99" s="1" t="str">
        <f>IF(Table2[[#This Row],[EKG results]]=0, "Normal", "Abnormal")</f>
        <v>Normal</v>
      </c>
      <c r="O99" s="1">
        <v>156</v>
      </c>
      <c r="P99" s="1">
        <v>0</v>
      </c>
      <c r="Q99" s="1" t="str">
        <f>IF(Table2[[#This Row],[Exercise angina]]=0, "Normal", "Abnormal")</f>
        <v>Normal</v>
      </c>
      <c r="R99" s="1">
        <v>0.1</v>
      </c>
      <c r="S99" s="1">
        <v>1</v>
      </c>
      <c r="T99" s="1">
        <v>1</v>
      </c>
      <c r="U99" s="1">
        <v>7</v>
      </c>
      <c r="V99"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99" s="1" t="s">
        <v>14</v>
      </c>
    </row>
    <row r="100" spans="1:23" x14ac:dyDescent="0.35">
      <c r="A100" s="1">
        <v>64</v>
      </c>
      <c r="B100" s="1" t="str">
        <f t="shared" si="1"/>
        <v>61-70</v>
      </c>
      <c r="C100" s="1">
        <v>0</v>
      </c>
      <c r="D100" s="1" t="str">
        <f>IF(Table2[[#This Row],[Sex]]=1,"Male", "Female")</f>
        <v>Female</v>
      </c>
      <c r="E100" s="1">
        <v>3</v>
      </c>
      <c r="F100" s="1" t="str">
        <f>IF(Table2[[#This Row],[Chest pain level]]=1, "Typical Angina", IF(Table2[[#This Row],[Chest pain level]]=2, "Atypical Angina", IF(Table2[[#This Row],[Chest pain level]]=3, "Non Anginal Pain", IF(Table2[[#This Row],[Chest pain level]]=4, "Asymptomatic"))))</f>
        <v>Non Anginal Pain</v>
      </c>
      <c r="G100" s="1">
        <v>140</v>
      </c>
      <c r="H100" s="1" t="str">
        <f>IF(Table2[[#This Row],[BP]]&lt;=120, "Normal",  IF(Table2[[#This Row],[BP]]&lt;=130, "Slightly Elevated", IF(Table2[[#This Row],[BP]]&lt;=140, "High", "Very High")))</f>
        <v>High</v>
      </c>
      <c r="I100" s="1">
        <v>313</v>
      </c>
      <c r="J100" s="1" t="str">
        <f>IF(Table2[[#This Row],[Cholesterol]]&gt;=240, "High", "Normal")</f>
        <v>High</v>
      </c>
      <c r="K100" s="1">
        <v>0</v>
      </c>
      <c r="L100" s="1" t="str">
        <f>IF(Table2[[#This Row],[FBS over 120]]=0, "Normal", "High")</f>
        <v>Normal</v>
      </c>
      <c r="M100" s="1">
        <v>0</v>
      </c>
      <c r="N100" s="1" t="str">
        <f>IF(Table2[[#This Row],[EKG results]]=0, "Normal", "Abnormal")</f>
        <v>Normal</v>
      </c>
      <c r="O100" s="1">
        <v>133</v>
      </c>
      <c r="P100" s="1">
        <v>0</v>
      </c>
      <c r="Q100" s="1" t="str">
        <f>IF(Table2[[#This Row],[Exercise angina]]=0, "Normal", "Abnormal")</f>
        <v>Normal</v>
      </c>
      <c r="R100" s="1">
        <v>0.2</v>
      </c>
      <c r="S100" s="1">
        <v>1</v>
      </c>
      <c r="T100" s="1">
        <v>0</v>
      </c>
      <c r="U100" s="1">
        <v>7</v>
      </c>
      <c r="V100"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00" s="1" t="s">
        <v>15</v>
      </c>
    </row>
    <row r="101" spans="1:23" x14ac:dyDescent="0.35">
      <c r="A101" s="1">
        <v>50</v>
      </c>
      <c r="B101" s="1" t="str">
        <f t="shared" si="1"/>
        <v>41-50</v>
      </c>
      <c r="C101" s="1">
        <v>0</v>
      </c>
      <c r="D101" s="1" t="str">
        <f>IF(Table2[[#This Row],[Sex]]=1,"Male", "Female")</f>
        <v>Female</v>
      </c>
      <c r="E101" s="1">
        <v>2</v>
      </c>
      <c r="F101" s="1" t="str">
        <f>IF(Table2[[#This Row],[Chest pain level]]=1, "Typical Angina", IF(Table2[[#This Row],[Chest pain level]]=2, "Atypical Angina", IF(Table2[[#This Row],[Chest pain level]]=3, "Non Anginal Pain", IF(Table2[[#This Row],[Chest pain level]]=4, "Asymptomatic"))))</f>
        <v>Atypical Angina</v>
      </c>
      <c r="G101" s="1">
        <v>120</v>
      </c>
      <c r="H101" s="1" t="str">
        <f>IF(Table2[[#This Row],[BP]]&lt;=120, "Normal",  IF(Table2[[#This Row],[BP]]&lt;=130, "Slightly Elevated", IF(Table2[[#This Row],[BP]]&lt;=140, "High", "Very High")))</f>
        <v>Normal</v>
      </c>
      <c r="I101" s="1">
        <v>244</v>
      </c>
      <c r="J101" s="1" t="str">
        <f>IF(Table2[[#This Row],[Cholesterol]]&gt;=240, "High", "Normal")</f>
        <v>High</v>
      </c>
      <c r="K101" s="1">
        <v>0</v>
      </c>
      <c r="L101" s="1" t="str">
        <f>IF(Table2[[#This Row],[FBS over 120]]=0, "Normal", "High")</f>
        <v>Normal</v>
      </c>
      <c r="M101" s="1">
        <v>0</v>
      </c>
      <c r="N101" s="1" t="str">
        <f>IF(Table2[[#This Row],[EKG results]]=0, "Normal", "Abnormal")</f>
        <v>Normal</v>
      </c>
      <c r="O101" s="1">
        <v>162</v>
      </c>
      <c r="P101" s="1">
        <v>0</v>
      </c>
      <c r="Q101" s="1" t="str">
        <f>IF(Table2[[#This Row],[Exercise angina]]=0, "Normal", "Abnormal")</f>
        <v>Normal</v>
      </c>
      <c r="R101" s="1">
        <v>1.1000000000000001</v>
      </c>
      <c r="S101" s="1">
        <v>1</v>
      </c>
      <c r="T101" s="1">
        <v>0</v>
      </c>
      <c r="U101" s="1">
        <v>3</v>
      </c>
      <c r="V101"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01" s="1" t="s">
        <v>15</v>
      </c>
    </row>
    <row r="102" spans="1:23" x14ac:dyDescent="0.35">
      <c r="A102" s="1">
        <v>44</v>
      </c>
      <c r="B102" s="1" t="str">
        <f t="shared" si="1"/>
        <v>41-50</v>
      </c>
      <c r="C102" s="1">
        <v>0</v>
      </c>
      <c r="D102" s="1" t="str">
        <f>IF(Table2[[#This Row],[Sex]]=1,"Male", "Female")</f>
        <v>Female</v>
      </c>
      <c r="E102" s="1">
        <v>3</v>
      </c>
      <c r="F102" s="1" t="str">
        <f>IF(Table2[[#This Row],[Chest pain level]]=1, "Typical Angina", IF(Table2[[#This Row],[Chest pain level]]=2, "Atypical Angina", IF(Table2[[#This Row],[Chest pain level]]=3, "Non Anginal Pain", IF(Table2[[#This Row],[Chest pain level]]=4, "Asymptomatic"))))</f>
        <v>Non Anginal Pain</v>
      </c>
      <c r="G102" s="1">
        <v>108</v>
      </c>
      <c r="H102" s="1" t="str">
        <f>IF(Table2[[#This Row],[BP]]&lt;=120, "Normal",  IF(Table2[[#This Row],[BP]]&lt;=130, "Slightly Elevated", IF(Table2[[#This Row],[BP]]&lt;=140, "High", "Very High")))</f>
        <v>Normal</v>
      </c>
      <c r="I102" s="1">
        <v>141</v>
      </c>
      <c r="J102" s="1" t="str">
        <f>IF(Table2[[#This Row],[Cholesterol]]&gt;=240, "High", "Normal")</f>
        <v>Normal</v>
      </c>
      <c r="K102" s="1">
        <v>0</v>
      </c>
      <c r="L102" s="1" t="str">
        <f>IF(Table2[[#This Row],[FBS over 120]]=0, "Normal", "High")</f>
        <v>Normal</v>
      </c>
      <c r="M102" s="1">
        <v>0</v>
      </c>
      <c r="N102" s="1" t="str">
        <f>IF(Table2[[#This Row],[EKG results]]=0, "Normal", "Abnormal")</f>
        <v>Normal</v>
      </c>
      <c r="O102" s="1">
        <v>175</v>
      </c>
      <c r="P102" s="1">
        <v>0</v>
      </c>
      <c r="Q102" s="1" t="str">
        <f>IF(Table2[[#This Row],[Exercise angina]]=0, "Normal", "Abnormal")</f>
        <v>Normal</v>
      </c>
      <c r="R102" s="1">
        <v>0.6</v>
      </c>
      <c r="S102" s="1">
        <v>2</v>
      </c>
      <c r="T102" s="1">
        <v>0</v>
      </c>
      <c r="U102" s="1">
        <v>3</v>
      </c>
      <c r="V102"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02" s="1" t="s">
        <v>15</v>
      </c>
    </row>
    <row r="103" spans="1:23" x14ac:dyDescent="0.35">
      <c r="A103" s="1">
        <v>67</v>
      </c>
      <c r="B103" s="1" t="str">
        <f t="shared" si="1"/>
        <v>61-70</v>
      </c>
      <c r="C103" s="1">
        <v>1</v>
      </c>
      <c r="D103" s="1" t="str">
        <f>IF(Table2[[#This Row],[Sex]]=1,"Male", "Female")</f>
        <v>Male</v>
      </c>
      <c r="E103" s="1">
        <v>4</v>
      </c>
      <c r="F103" s="1" t="str">
        <f>IF(Table2[[#This Row],[Chest pain level]]=1, "Typical Angina", IF(Table2[[#This Row],[Chest pain level]]=2, "Atypical Angina", IF(Table2[[#This Row],[Chest pain level]]=3, "Non Anginal Pain", IF(Table2[[#This Row],[Chest pain level]]=4, "Asymptomatic"))))</f>
        <v>Asymptomatic</v>
      </c>
      <c r="G103" s="1">
        <v>120</v>
      </c>
      <c r="H103" s="1" t="str">
        <f>IF(Table2[[#This Row],[BP]]&lt;=120, "Normal",  IF(Table2[[#This Row],[BP]]&lt;=130, "Slightly Elevated", IF(Table2[[#This Row],[BP]]&lt;=140, "High", "Very High")))</f>
        <v>Normal</v>
      </c>
      <c r="I103" s="1">
        <v>237</v>
      </c>
      <c r="J103" s="1" t="str">
        <f>IF(Table2[[#This Row],[Cholesterol]]&gt;=240, "High", "Normal")</f>
        <v>Normal</v>
      </c>
      <c r="K103" s="1">
        <v>0</v>
      </c>
      <c r="L103" s="1" t="str">
        <f>IF(Table2[[#This Row],[FBS over 120]]=0, "Normal", "High")</f>
        <v>Normal</v>
      </c>
      <c r="M103" s="1">
        <v>0</v>
      </c>
      <c r="N103" s="1" t="str">
        <f>IF(Table2[[#This Row],[EKG results]]=0, "Normal", "Abnormal")</f>
        <v>Normal</v>
      </c>
      <c r="O103" s="1">
        <v>71</v>
      </c>
      <c r="P103" s="1">
        <v>0</v>
      </c>
      <c r="Q103" s="1" t="str">
        <f>IF(Table2[[#This Row],[Exercise angina]]=0, "Normal", "Abnormal")</f>
        <v>Normal</v>
      </c>
      <c r="R103" s="1">
        <v>1</v>
      </c>
      <c r="S103" s="1">
        <v>2</v>
      </c>
      <c r="T103" s="1">
        <v>0</v>
      </c>
      <c r="U103" s="1">
        <v>3</v>
      </c>
      <c r="V103"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03" s="1" t="s">
        <v>14</v>
      </c>
    </row>
    <row r="104" spans="1:23" x14ac:dyDescent="0.35">
      <c r="A104" s="1">
        <v>49</v>
      </c>
      <c r="B104" s="1" t="str">
        <f t="shared" si="1"/>
        <v>41-50</v>
      </c>
      <c r="C104" s="1">
        <v>0</v>
      </c>
      <c r="D104" s="1" t="str">
        <f>IF(Table2[[#This Row],[Sex]]=1,"Male", "Female")</f>
        <v>Female</v>
      </c>
      <c r="E104" s="1">
        <v>4</v>
      </c>
      <c r="F104" s="1" t="str">
        <f>IF(Table2[[#This Row],[Chest pain level]]=1, "Typical Angina", IF(Table2[[#This Row],[Chest pain level]]=2, "Atypical Angina", IF(Table2[[#This Row],[Chest pain level]]=3, "Non Anginal Pain", IF(Table2[[#This Row],[Chest pain level]]=4, "Asymptomatic"))))</f>
        <v>Asymptomatic</v>
      </c>
      <c r="G104" s="1">
        <v>130</v>
      </c>
      <c r="H104" s="1" t="str">
        <f>IF(Table2[[#This Row],[BP]]&lt;=120, "Normal",  IF(Table2[[#This Row],[BP]]&lt;=130, "Slightly Elevated", IF(Table2[[#This Row],[BP]]&lt;=140, "High", "Very High")))</f>
        <v>Slightly Elevated</v>
      </c>
      <c r="I104" s="1">
        <v>269</v>
      </c>
      <c r="J104" s="1" t="str">
        <f>IF(Table2[[#This Row],[Cholesterol]]&gt;=240, "High", "Normal")</f>
        <v>High</v>
      </c>
      <c r="K104" s="1">
        <v>0</v>
      </c>
      <c r="L104" s="1" t="str">
        <f>IF(Table2[[#This Row],[FBS over 120]]=0, "Normal", "High")</f>
        <v>Normal</v>
      </c>
      <c r="M104" s="1">
        <v>0</v>
      </c>
      <c r="N104" s="1" t="str">
        <f>IF(Table2[[#This Row],[EKG results]]=0, "Normal", "Abnormal")</f>
        <v>Normal</v>
      </c>
      <c r="O104" s="1">
        <v>163</v>
      </c>
      <c r="P104" s="1">
        <v>0</v>
      </c>
      <c r="Q104" s="1" t="str">
        <f>IF(Table2[[#This Row],[Exercise angina]]=0, "Normal", "Abnormal")</f>
        <v>Normal</v>
      </c>
      <c r="R104" s="1">
        <v>0</v>
      </c>
      <c r="S104" s="1">
        <v>1</v>
      </c>
      <c r="T104" s="1">
        <v>0</v>
      </c>
      <c r="U104" s="1">
        <v>3</v>
      </c>
      <c r="V104"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04" s="1" t="s">
        <v>15</v>
      </c>
    </row>
    <row r="105" spans="1:23" x14ac:dyDescent="0.35">
      <c r="A105" s="1">
        <v>57</v>
      </c>
      <c r="B105" s="1" t="str">
        <f t="shared" si="1"/>
        <v>51-60</v>
      </c>
      <c r="C105" s="1">
        <v>1</v>
      </c>
      <c r="D105" s="1" t="str">
        <f>IF(Table2[[#This Row],[Sex]]=1,"Male", "Female")</f>
        <v>Male</v>
      </c>
      <c r="E105" s="1">
        <v>4</v>
      </c>
      <c r="F105" s="1" t="str">
        <f>IF(Table2[[#This Row],[Chest pain level]]=1, "Typical Angina", IF(Table2[[#This Row],[Chest pain level]]=2, "Atypical Angina", IF(Table2[[#This Row],[Chest pain level]]=3, "Non Anginal Pain", IF(Table2[[#This Row],[Chest pain level]]=4, "Asymptomatic"))))</f>
        <v>Asymptomatic</v>
      </c>
      <c r="G105" s="1">
        <v>165</v>
      </c>
      <c r="H105" s="1" t="str">
        <f>IF(Table2[[#This Row],[BP]]&lt;=120, "Normal",  IF(Table2[[#This Row],[BP]]&lt;=130, "Slightly Elevated", IF(Table2[[#This Row],[BP]]&lt;=140, "High", "Very High")))</f>
        <v>Very High</v>
      </c>
      <c r="I105" s="1">
        <v>289</v>
      </c>
      <c r="J105" s="1" t="str">
        <f>IF(Table2[[#This Row],[Cholesterol]]&gt;=240, "High", "Normal")</f>
        <v>High</v>
      </c>
      <c r="K105" s="1">
        <v>1</v>
      </c>
      <c r="L105" s="1" t="str">
        <f>IF(Table2[[#This Row],[FBS over 120]]=0, "Normal", "High")</f>
        <v>High</v>
      </c>
      <c r="M105" s="1">
        <v>2</v>
      </c>
      <c r="N105" s="1" t="str">
        <f>IF(Table2[[#This Row],[EKG results]]=0, "Normal", "Abnormal")</f>
        <v>Abnormal</v>
      </c>
      <c r="O105" s="1">
        <v>124</v>
      </c>
      <c r="P105" s="1">
        <v>0</v>
      </c>
      <c r="Q105" s="1" t="str">
        <f>IF(Table2[[#This Row],[Exercise angina]]=0, "Normal", "Abnormal")</f>
        <v>Normal</v>
      </c>
      <c r="R105" s="1">
        <v>1</v>
      </c>
      <c r="S105" s="1">
        <v>2</v>
      </c>
      <c r="T105" s="1">
        <v>3</v>
      </c>
      <c r="U105" s="1">
        <v>7</v>
      </c>
      <c r="V105"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05" s="1" t="s">
        <v>14</v>
      </c>
    </row>
    <row r="106" spans="1:23" x14ac:dyDescent="0.35">
      <c r="A106" s="1">
        <v>63</v>
      </c>
      <c r="B106" s="1" t="str">
        <f t="shared" si="1"/>
        <v>61-70</v>
      </c>
      <c r="C106" s="1">
        <v>1</v>
      </c>
      <c r="D106" s="1" t="str">
        <f>IF(Table2[[#This Row],[Sex]]=1,"Male", "Female")</f>
        <v>Male</v>
      </c>
      <c r="E106" s="1">
        <v>4</v>
      </c>
      <c r="F106" s="1" t="str">
        <f>IF(Table2[[#This Row],[Chest pain level]]=1, "Typical Angina", IF(Table2[[#This Row],[Chest pain level]]=2, "Atypical Angina", IF(Table2[[#This Row],[Chest pain level]]=3, "Non Anginal Pain", IF(Table2[[#This Row],[Chest pain level]]=4, "Asymptomatic"))))</f>
        <v>Asymptomatic</v>
      </c>
      <c r="G106" s="1">
        <v>130</v>
      </c>
      <c r="H106" s="1" t="str">
        <f>IF(Table2[[#This Row],[BP]]&lt;=120, "Normal",  IF(Table2[[#This Row],[BP]]&lt;=130, "Slightly Elevated", IF(Table2[[#This Row],[BP]]&lt;=140, "High", "Very High")))</f>
        <v>Slightly Elevated</v>
      </c>
      <c r="I106" s="1">
        <v>254</v>
      </c>
      <c r="J106" s="1" t="str">
        <f>IF(Table2[[#This Row],[Cholesterol]]&gt;=240, "High", "Normal")</f>
        <v>High</v>
      </c>
      <c r="K106" s="1">
        <v>0</v>
      </c>
      <c r="L106" s="1" t="str">
        <f>IF(Table2[[#This Row],[FBS over 120]]=0, "Normal", "High")</f>
        <v>Normal</v>
      </c>
      <c r="M106" s="1">
        <v>2</v>
      </c>
      <c r="N106" s="1" t="str">
        <f>IF(Table2[[#This Row],[EKG results]]=0, "Normal", "Abnormal")</f>
        <v>Abnormal</v>
      </c>
      <c r="O106" s="1">
        <v>147</v>
      </c>
      <c r="P106" s="1">
        <v>0</v>
      </c>
      <c r="Q106" s="1" t="str">
        <f>IF(Table2[[#This Row],[Exercise angina]]=0, "Normal", "Abnormal")</f>
        <v>Normal</v>
      </c>
      <c r="R106" s="1">
        <v>1.4</v>
      </c>
      <c r="S106" s="1">
        <v>2</v>
      </c>
      <c r="T106" s="1">
        <v>1</v>
      </c>
      <c r="U106" s="1">
        <v>7</v>
      </c>
      <c r="V106"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06" s="1" t="s">
        <v>14</v>
      </c>
    </row>
    <row r="107" spans="1:23" x14ac:dyDescent="0.35">
      <c r="A107" s="1">
        <v>48</v>
      </c>
      <c r="B107" s="1" t="str">
        <f t="shared" si="1"/>
        <v>41-50</v>
      </c>
      <c r="C107" s="1">
        <v>1</v>
      </c>
      <c r="D107" s="1" t="str">
        <f>IF(Table2[[#This Row],[Sex]]=1,"Male", "Female")</f>
        <v>Male</v>
      </c>
      <c r="E107" s="1">
        <v>4</v>
      </c>
      <c r="F107" s="1" t="str">
        <f>IF(Table2[[#This Row],[Chest pain level]]=1, "Typical Angina", IF(Table2[[#This Row],[Chest pain level]]=2, "Atypical Angina", IF(Table2[[#This Row],[Chest pain level]]=3, "Non Anginal Pain", IF(Table2[[#This Row],[Chest pain level]]=4, "Asymptomatic"))))</f>
        <v>Asymptomatic</v>
      </c>
      <c r="G107" s="1">
        <v>124</v>
      </c>
      <c r="H107" s="1" t="str">
        <f>IF(Table2[[#This Row],[BP]]&lt;=120, "Normal",  IF(Table2[[#This Row],[BP]]&lt;=130, "Slightly Elevated", IF(Table2[[#This Row],[BP]]&lt;=140, "High", "Very High")))</f>
        <v>Slightly Elevated</v>
      </c>
      <c r="I107" s="1">
        <v>274</v>
      </c>
      <c r="J107" s="1" t="str">
        <f>IF(Table2[[#This Row],[Cholesterol]]&gt;=240, "High", "Normal")</f>
        <v>High</v>
      </c>
      <c r="K107" s="1">
        <v>0</v>
      </c>
      <c r="L107" s="1" t="str">
        <f>IF(Table2[[#This Row],[FBS over 120]]=0, "Normal", "High")</f>
        <v>Normal</v>
      </c>
      <c r="M107" s="1">
        <v>2</v>
      </c>
      <c r="N107" s="1" t="str">
        <f>IF(Table2[[#This Row],[EKG results]]=0, "Normal", "Abnormal")</f>
        <v>Abnormal</v>
      </c>
      <c r="O107" s="1">
        <v>166</v>
      </c>
      <c r="P107" s="1">
        <v>0</v>
      </c>
      <c r="Q107" s="1" t="str">
        <f>IF(Table2[[#This Row],[Exercise angina]]=0, "Normal", "Abnormal")</f>
        <v>Normal</v>
      </c>
      <c r="R107" s="1">
        <v>0.5</v>
      </c>
      <c r="S107" s="1">
        <v>2</v>
      </c>
      <c r="T107" s="1">
        <v>0</v>
      </c>
      <c r="U107" s="1">
        <v>7</v>
      </c>
      <c r="V107"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07" s="1" t="s">
        <v>14</v>
      </c>
    </row>
    <row r="108" spans="1:23" x14ac:dyDescent="0.35">
      <c r="A108" s="1">
        <v>51</v>
      </c>
      <c r="B108" s="1" t="str">
        <f t="shared" si="1"/>
        <v>51-60</v>
      </c>
      <c r="C108" s="1">
        <v>1</v>
      </c>
      <c r="D108" s="1" t="str">
        <f>IF(Table2[[#This Row],[Sex]]=1,"Male", "Female")</f>
        <v>Male</v>
      </c>
      <c r="E108" s="1">
        <v>3</v>
      </c>
      <c r="F108" s="1" t="str">
        <f>IF(Table2[[#This Row],[Chest pain level]]=1, "Typical Angina", IF(Table2[[#This Row],[Chest pain level]]=2, "Atypical Angina", IF(Table2[[#This Row],[Chest pain level]]=3, "Non Anginal Pain", IF(Table2[[#This Row],[Chest pain level]]=4, "Asymptomatic"))))</f>
        <v>Non Anginal Pain</v>
      </c>
      <c r="G108" s="1">
        <v>100</v>
      </c>
      <c r="H108" s="1" t="str">
        <f>IF(Table2[[#This Row],[BP]]&lt;=120, "Normal",  IF(Table2[[#This Row],[BP]]&lt;=130, "Slightly Elevated", IF(Table2[[#This Row],[BP]]&lt;=140, "High", "Very High")))</f>
        <v>Normal</v>
      </c>
      <c r="I108" s="1">
        <v>222</v>
      </c>
      <c r="J108" s="1" t="str">
        <f>IF(Table2[[#This Row],[Cholesterol]]&gt;=240, "High", "Normal")</f>
        <v>Normal</v>
      </c>
      <c r="K108" s="1">
        <v>0</v>
      </c>
      <c r="L108" s="1" t="str">
        <f>IF(Table2[[#This Row],[FBS over 120]]=0, "Normal", "High")</f>
        <v>Normal</v>
      </c>
      <c r="M108" s="1">
        <v>0</v>
      </c>
      <c r="N108" s="1" t="str">
        <f>IF(Table2[[#This Row],[EKG results]]=0, "Normal", "Abnormal")</f>
        <v>Normal</v>
      </c>
      <c r="O108" s="1">
        <v>143</v>
      </c>
      <c r="P108" s="1">
        <v>1</v>
      </c>
      <c r="Q108" s="1" t="str">
        <f>IF(Table2[[#This Row],[Exercise angina]]=0, "Normal", "Abnormal")</f>
        <v>Abnormal</v>
      </c>
      <c r="R108" s="1">
        <v>1.2</v>
      </c>
      <c r="S108" s="1">
        <v>2</v>
      </c>
      <c r="T108" s="1">
        <v>0</v>
      </c>
      <c r="U108" s="1">
        <v>3</v>
      </c>
      <c r="V108"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08" s="1" t="s">
        <v>15</v>
      </c>
    </row>
    <row r="109" spans="1:23" x14ac:dyDescent="0.35">
      <c r="A109" s="1">
        <v>60</v>
      </c>
      <c r="B109" s="1" t="str">
        <f t="shared" si="1"/>
        <v>51-60</v>
      </c>
      <c r="C109" s="1">
        <v>0</v>
      </c>
      <c r="D109" s="1" t="str">
        <f>IF(Table2[[#This Row],[Sex]]=1,"Male", "Female")</f>
        <v>Female</v>
      </c>
      <c r="E109" s="1">
        <v>4</v>
      </c>
      <c r="F109" s="1" t="str">
        <f>IF(Table2[[#This Row],[Chest pain level]]=1, "Typical Angina", IF(Table2[[#This Row],[Chest pain level]]=2, "Atypical Angina", IF(Table2[[#This Row],[Chest pain level]]=3, "Non Anginal Pain", IF(Table2[[#This Row],[Chest pain level]]=4, "Asymptomatic"))))</f>
        <v>Asymptomatic</v>
      </c>
      <c r="G109" s="1">
        <v>150</v>
      </c>
      <c r="H109" s="1" t="str">
        <f>IF(Table2[[#This Row],[BP]]&lt;=120, "Normal",  IF(Table2[[#This Row],[BP]]&lt;=130, "Slightly Elevated", IF(Table2[[#This Row],[BP]]&lt;=140, "High", "Very High")))</f>
        <v>Very High</v>
      </c>
      <c r="I109" s="1">
        <v>258</v>
      </c>
      <c r="J109" s="1" t="str">
        <f>IF(Table2[[#This Row],[Cholesterol]]&gt;=240, "High", "Normal")</f>
        <v>High</v>
      </c>
      <c r="K109" s="1">
        <v>0</v>
      </c>
      <c r="L109" s="1" t="str">
        <f>IF(Table2[[#This Row],[FBS over 120]]=0, "Normal", "High")</f>
        <v>Normal</v>
      </c>
      <c r="M109" s="1">
        <v>2</v>
      </c>
      <c r="N109" s="1" t="str">
        <f>IF(Table2[[#This Row],[EKG results]]=0, "Normal", "Abnormal")</f>
        <v>Abnormal</v>
      </c>
      <c r="O109" s="1">
        <v>157</v>
      </c>
      <c r="P109" s="1">
        <v>0</v>
      </c>
      <c r="Q109" s="1" t="str">
        <f>IF(Table2[[#This Row],[Exercise angina]]=0, "Normal", "Abnormal")</f>
        <v>Normal</v>
      </c>
      <c r="R109" s="1">
        <v>2.6</v>
      </c>
      <c r="S109" s="1">
        <v>2</v>
      </c>
      <c r="T109" s="1">
        <v>2</v>
      </c>
      <c r="U109" s="1">
        <v>7</v>
      </c>
      <c r="V109"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09" s="1" t="s">
        <v>14</v>
      </c>
    </row>
    <row r="110" spans="1:23" x14ac:dyDescent="0.35">
      <c r="A110" s="1">
        <v>59</v>
      </c>
      <c r="B110" s="1" t="str">
        <f t="shared" si="1"/>
        <v>51-60</v>
      </c>
      <c r="C110" s="1">
        <v>1</v>
      </c>
      <c r="D110" s="1" t="str">
        <f>IF(Table2[[#This Row],[Sex]]=1,"Male", "Female")</f>
        <v>Male</v>
      </c>
      <c r="E110" s="1">
        <v>4</v>
      </c>
      <c r="F110" s="1" t="str">
        <f>IF(Table2[[#This Row],[Chest pain level]]=1, "Typical Angina", IF(Table2[[#This Row],[Chest pain level]]=2, "Atypical Angina", IF(Table2[[#This Row],[Chest pain level]]=3, "Non Anginal Pain", IF(Table2[[#This Row],[Chest pain level]]=4, "Asymptomatic"))))</f>
        <v>Asymptomatic</v>
      </c>
      <c r="G110" s="1">
        <v>140</v>
      </c>
      <c r="H110" s="1" t="str">
        <f>IF(Table2[[#This Row],[BP]]&lt;=120, "Normal",  IF(Table2[[#This Row],[BP]]&lt;=130, "Slightly Elevated", IF(Table2[[#This Row],[BP]]&lt;=140, "High", "Very High")))</f>
        <v>High</v>
      </c>
      <c r="I110" s="1">
        <v>177</v>
      </c>
      <c r="J110" s="1" t="str">
        <f>IF(Table2[[#This Row],[Cholesterol]]&gt;=240, "High", "Normal")</f>
        <v>Normal</v>
      </c>
      <c r="K110" s="1">
        <v>0</v>
      </c>
      <c r="L110" s="1" t="str">
        <f>IF(Table2[[#This Row],[FBS over 120]]=0, "Normal", "High")</f>
        <v>Normal</v>
      </c>
      <c r="M110" s="1">
        <v>0</v>
      </c>
      <c r="N110" s="1" t="str">
        <f>IF(Table2[[#This Row],[EKG results]]=0, "Normal", "Abnormal")</f>
        <v>Normal</v>
      </c>
      <c r="O110" s="1">
        <v>162</v>
      </c>
      <c r="P110" s="1">
        <v>1</v>
      </c>
      <c r="Q110" s="1" t="str">
        <f>IF(Table2[[#This Row],[Exercise angina]]=0, "Normal", "Abnormal")</f>
        <v>Abnormal</v>
      </c>
      <c r="R110" s="1">
        <v>0</v>
      </c>
      <c r="S110" s="1">
        <v>1</v>
      </c>
      <c r="T110" s="1">
        <v>1</v>
      </c>
      <c r="U110" s="1">
        <v>7</v>
      </c>
      <c r="V110"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10" s="1" t="s">
        <v>14</v>
      </c>
    </row>
    <row r="111" spans="1:23" x14ac:dyDescent="0.35">
      <c r="A111" s="1">
        <v>45</v>
      </c>
      <c r="B111" s="1" t="str">
        <f t="shared" si="1"/>
        <v>41-50</v>
      </c>
      <c r="C111" s="1">
        <v>0</v>
      </c>
      <c r="D111" s="1" t="str">
        <f>IF(Table2[[#This Row],[Sex]]=1,"Male", "Female")</f>
        <v>Female</v>
      </c>
      <c r="E111" s="1">
        <v>2</v>
      </c>
      <c r="F111" s="1" t="str">
        <f>IF(Table2[[#This Row],[Chest pain level]]=1, "Typical Angina", IF(Table2[[#This Row],[Chest pain level]]=2, "Atypical Angina", IF(Table2[[#This Row],[Chest pain level]]=3, "Non Anginal Pain", IF(Table2[[#This Row],[Chest pain level]]=4, "Asymptomatic"))))</f>
        <v>Atypical Angina</v>
      </c>
      <c r="G111" s="1">
        <v>112</v>
      </c>
      <c r="H111" s="1" t="str">
        <f>IF(Table2[[#This Row],[BP]]&lt;=120, "Normal",  IF(Table2[[#This Row],[BP]]&lt;=130, "Slightly Elevated", IF(Table2[[#This Row],[BP]]&lt;=140, "High", "Very High")))</f>
        <v>Normal</v>
      </c>
      <c r="I111" s="1">
        <v>160</v>
      </c>
      <c r="J111" s="1" t="str">
        <f>IF(Table2[[#This Row],[Cholesterol]]&gt;=240, "High", "Normal")</f>
        <v>Normal</v>
      </c>
      <c r="K111" s="1">
        <v>0</v>
      </c>
      <c r="L111" s="1" t="str">
        <f>IF(Table2[[#This Row],[FBS over 120]]=0, "Normal", "High")</f>
        <v>Normal</v>
      </c>
      <c r="M111" s="1">
        <v>0</v>
      </c>
      <c r="N111" s="1" t="str">
        <f>IF(Table2[[#This Row],[EKG results]]=0, "Normal", "Abnormal")</f>
        <v>Normal</v>
      </c>
      <c r="O111" s="1">
        <v>138</v>
      </c>
      <c r="P111" s="1">
        <v>0</v>
      </c>
      <c r="Q111" s="1" t="str">
        <f>IF(Table2[[#This Row],[Exercise angina]]=0, "Normal", "Abnormal")</f>
        <v>Normal</v>
      </c>
      <c r="R111" s="1">
        <v>0</v>
      </c>
      <c r="S111" s="1">
        <v>2</v>
      </c>
      <c r="T111" s="1">
        <v>0</v>
      </c>
      <c r="U111" s="1">
        <v>3</v>
      </c>
      <c r="V111"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11" s="1" t="s">
        <v>15</v>
      </c>
    </row>
    <row r="112" spans="1:23" x14ac:dyDescent="0.35">
      <c r="A112" s="1">
        <v>55</v>
      </c>
      <c r="B112" s="1" t="str">
        <f t="shared" si="1"/>
        <v>51-60</v>
      </c>
      <c r="C112" s="1">
        <v>0</v>
      </c>
      <c r="D112" s="1" t="str">
        <f>IF(Table2[[#This Row],[Sex]]=1,"Male", "Female")</f>
        <v>Female</v>
      </c>
      <c r="E112" s="1">
        <v>4</v>
      </c>
      <c r="F112" s="1" t="str">
        <f>IF(Table2[[#This Row],[Chest pain level]]=1, "Typical Angina", IF(Table2[[#This Row],[Chest pain level]]=2, "Atypical Angina", IF(Table2[[#This Row],[Chest pain level]]=3, "Non Anginal Pain", IF(Table2[[#This Row],[Chest pain level]]=4, "Asymptomatic"))))</f>
        <v>Asymptomatic</v>
      </c>
      <c r="G112" s="1">
        <v>180</v>
      </c>
      <c r="H112" s="1" t="str">
        <f>IF(Table2[[#This Row],[BP]]&lt;=120, "Normal",  IF(Table2[[#This Row],[BP]]&lt;=130, "Slightly Elevated", IF(Table2[[#This Row],[BP]]&lt;=140, "High", "Very High")))</f>
        <v>Very High</v>
      </c>
      <c r="I112" s="1">
        <v>327</v>
      </c>
      <c r="J112" s="1" t="str">
        <f>IF(Table2[[#This Row],[Cholesterol]]&gt;=240, "High", "Normal")</f>
        <v>High</v>
      </c>
      <c r="K112" s="1">
        <v>0</v>
      </c>
      <c r="L112" s="1" t="str">
        <f>IF(Table2[[#This Row],[FBS over 120]]=0, "Normal", "High")</f>
        <v>Normal</v>
      </c>
      <c r="M112" s="1">
        <v>1</v>
      </c>
      <c r="N112" s="1" t="str">
        <f>IF(Table2[[#This Row],[EKG results]]=0, "Normal", "Abnormal")</f>
        <v>Abnormal</v>
      </c>
      <c r="O112" s="1">
        <v>117</v>
      </c>
      <c r="P112" s="1">
        <v>1</v>
      </c>
      <c r="Q112" s="1" t="str">
        <f>IF(Table2[[#This Row],[Exercise angina]]=0, "Normal", "Abnormal")</f>
        <v>Abnormal</v>
      </c>
      <c r="R112" s="1">
        <v>3.4</v>
      </c>
      <c r="S112" s="1">
        <v>2</v>
      </c>
      <c r="T112" s="1">
        <v>0</v>
      </c>
      <c r="U112" s="1">
        <v>3</v>
      </c>
      <c r="V112"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12" s="1" t="s">
        <v>14</v>
      </c>
    </row>
    <row r="113" spans="1:23" x14ac:dyDescent="0.35">
      <c r="A113" s="1">
        <v>41</v>
      </c>
      <c r="B113" s="1" t="str">
        <f t="shared" si="1"/>
        <v>41-50</v>
      </c>
      <c r="C113" s="1">
        <v>1</v>
      </c>
      <c r="D113" s="1" t="str">
        <f>IF(Table2[[#This Row],[Sex]]=1,"Male", "Female")</f>
        <v>Male</v>
      </c>
      <c r="E113" s="1">
        <v>2</v>
      </c>
      <c r="F113" s="1" t="str">
        <f>IF(Table2[[#This Row],[Chest pain level]]=1, "Typical Angina", IF(Table2[[#This Row],[Chest pain level]]=2, "Atypical Angina", IF(Table2[[#This Row],[Chest pain level]]=3, "Non Anginal Pain", IF(Table2[[#This Row],[Chest pain level]]=4, "Asymptomatic"))))</f>
        <v>Atypical Angina</v>
      </c>
      <c r="G113" s="1">
        <v>110</v>
      </c>
      <c r="H113" s="1" t="str">
        <f>IF(Table2[[#This Row],[BP]]&lt;=120, "Normal",  IF(Table2[[#This Row],[BP]]&lt;=130, "Slightly Elevated", IF(Table2[[#This Row],[BP]]&lt;=140, "High", "Very High")))</f>
        <v>Normal</v>
      </c>
      <c r="I113" s="1">
        <v>235</v>
      </c>
      <c r="J113" s="1" t="str">
        <f>IF(Table2[[#This Row],[Cholesterol]]&gt;=240, "High", "Normal")</f>
        <v>Normal</v>
      </c>
      <c r="K113" s="1">
        <v>0</v>
      </c>
      <c r="L113" s="1" t="str">
        <f>IF(Table2[[#This Row],[FBS over 120]]=0, "Normal", "High")</f>
        <v>Normal</v>
      </c>
      <c r="M113" s="1">
        <v>0</v>
      </c>
      <c r="N113" s="1" t="str">
        <f>IF(Table2[[#This Row],[EKG results]]=0, "Normal", "Abnormal")</f>
        <v>Normal</v>
      </c>
      <c r="O113" s="1">
        <v>153</v>
      </c>
      <c r="P113" s="1">
        <v>0</v>
      </c>
      <c r="Q113" s="1" t="str">
        <f>IF(Table2[[#This Row],[Exercise angina]]=0, "Normal", "Abnormal")</f>
        <v>Normal</v>
      </c>
      <c r="R113" s="1">
        <v>0</v>
      </c>
      <c r="S113" s="1">
        <v>1</v>
      </c>
      <c r="T113" s="1">
        <v>0</v>
      </c>
      <c r="U113" s="1">
        <v>3</v>
      </c>
      <c r="V113"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13" s="1" t="s">
        <v>15</v>
      </c>
    </row>
    <row r="114" spans="1:23" x14ac:dyDescent="0.35">
      <c r="A114" s="1">
        <v>60</v>
      </c>
      <c r="B114" s="1" t="str">
        <f t="shared" si="1"/>
        <v>51-60</v>
      </c>
      <c r="C114" s="1">
        <v>0</v>
      </c>
      <c r="D114" s="1" t="str">
        <f>IF(Table2[[#This Row],[Sex]]=1,"Male", "Female")</f>
        <v>Female</v>
      </c>
      <c r="E114" s="1">
        <v>4</v>
      </c>
      <c r="F114" s="1" t="str">
        <f>IF(Table2[[#This Row],[Chest pain level]]=1, "Typical Angina", IF(Table2[[#This Row],[Chest pain level]]=2, "Atypical Angina", IF(Table2[[#This Row],[Chest pain level]]=3, "Non Anginal Pain", IF(Table2[[#This Row],[Chest pain level]]=4, "Asymptomatic"))))</f>
        <v>Asymptomatic</v>
      </c>
      <c r="G114" s="1">
        <v>158</v>
      </c>
      <c r="H114" s="1" t="str">
        <f>IF(Table2[[#This Row],[BP]]&lt;=120, "Normal",  IF(Table2[[#This Row],[BP]]&lt;=130, "Slightly Elevated", IF(Table2[[#This Row],[BP]]&lt;=140, "High", "Very High")))</f>
        <v>Very High</v>
      </c>
      <c r="I114" s="1">
        <v>305</v>
      </c>
      <c r="J114" s="1" t="str">
        <f>IF(Table2[[#This Row],[Cholesterol]]&gt;=240, "High", "Normal")</f>
        <v>High</v>
      </c>
      <c r="K114" s="1">
        <v>0</v>
      </c>
      <c r="L114" s="1" t="str">
        <f>IF(Table2[[#This Row],[FBS over 120]]=0, "Normal", "High")</f>
        <v>Normal</v>
      </c>
      <c r="M114" s="1">
        <v>2</v>
      </c>
      <c r="N114" s="1" t="str">
        <f>IF(Table2[[#This Row],[EKG results]]=0, "Normal", "Abnormal")</f>
        <v>Abnormal</v>
      </c>
      <c r="O114" s="1">
        <v>161</v>
      </c>
      <c r="P114" s="1">
        <v>0</v>
      </c>
      <c r="Q114" s="1" t="str">
        <f>IF(Table2[[#This Row],[Exercise angina]]=0, "Normal", "Abnormal")</f>
        <v>Normal</v>
      </c>
      <c r="R114" s="1">
        <v>0</v>
      </c>
      <c r="S114" s="1">
        <v>1</v>
      </c>
      <c r="T114" s="1">
        <v>0</v>
      </c>
      <c r="U114" s="1">
        <v>3</v>
      </c>
      <c r="V114"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14" s="1" t="s">
        <v>14</v>
      </c>
    </row>
    <row r="115" spans="1:23" x14ac:dyDescent="0.35">
      <c r="A115" s="1">
        <v>54</v>
      </c>
      <c r="B115" s="1" t="str">
        <f t="shared" si="1"/>
        <v>51-60</v>
      </c>
      <c r="C115" s="1">
        <v>0</v>
      </c>
      <c r="D115" s="1" t="str">
        <f>IF(Table2[[#This Row],[Sex]]=1,"Male", "Female")</f>
        <v>Female</v>
      </c>
      <c r="E115" s="1">
        <v>3</v>
      </c>
      <c r="F115" s="1" t="str">
        <f>IF(Table2[[#This Row],[Chest pain level]]=1, "Typical Angina", IF(Table2[[#This Row],[Chest pain level]]=2, "Atypical Angina", IF(Table2[[#This Row],[Chest pain level]]=3, "Non Anginal Pain", IF(Table2[[#This Row],[Chest pain level]]=4, "Asymptomatic"))))</f>
        <v>Non Anginal Pain</v>
      </c>
      <c r="G115" s="1">
        <v>135</v>
      </c>
      <c r="H115" s="1" t="str">
        <f>IF(Table2[[#This Row],[BP]]&lt;=120, "Normal",  IF(Table2[[#This Row],[BP]]&lt;=130, "Slightly Elevated", IF(Table2[[#This Row],[BP]]&lt;=140, "High", "Very High")))</f>
        <v>High</v>
      </c>
      <c r="I115" s="1">
        <v>304</v>
      </c>
      <c r="J115" s="1" t="str">
        <f>IF(Table2[[#This Row],[Cholesterol]]&gt;=240, "High", "Normal")</f>
        <v>High</v>
      </c>
      <c r="K115" s="1">
        <v>1</v>
      </c>
      <c r="L115" s="1" t="str">
        <f>IF(Table2[[#This Row],[FBS over 120]]=0, "Normal", "High")</f>
        <v>High</v>
      </c>
      <c r="M115" s="1">
        <v>0</v>
      </c>
      <c r="N115" s="1" t="str">
        <f>IF(Table2[[#This Row],[EKG results]]=0, "Normal", "Abnormal")</f>
        <v>Normal</v>
      </c>
      <c r="O115" s="1">
        <v>170</v>
      </c>
      <c r="P115" s="1">
        <v>0</v>
      </c>
      <c r="Q115" s="1" t="str">
        <f>IF(Table2[[#This Row],[Exercise angina]]=0, "Normal", "Abnormal")</f>
        <v>Normal</v>
      </c>
      <c r="R115" s="1">
        <v>0</v>
      </c>
      <c r="S115" s="1">
        <v>1</v>
      </c>
      <c r="T115" s="1">
        <v>0</v>
      </c>
      <c r="U115" s="1">
        <v>3</v>
      </c>
      <c r="V115"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15" s="1" t="s">
        <v>15</v>
      </c>
    </row>
    <row r="116" spans="1:23" x14ac:dyDescent="0.35">
      <c r="A116" s="1">
        <v>42</v>
      </c>
      <c r="B116" s="1" t="str">
        <f t="shared" si="1"/>
        <v>41-50</v>
      </c>
      <c r="C116" s="1">
        <v>1</v>
      </c>
      <c r="D116" s="1" t="str">
        <f>IF(Table2[[#This Row],[Sex]]=1,"Male", "Female")</f>
        <v>Male</v>
      </c>
      <c r="E116" s="1">
        <v>2</v>
      </c>
      <c r="F116" s="1" t="str">
        <f>IF(Table2[[#This Row],[Chest pain level]]=1, "Typical Angina", IF(Table2[[#This Row],[Chest pain level]]=2, "Atypical Angina", IF(Table2[[#This Row],[Chest pain level]]=3, "Non Anginal Pain", IF(Table2[[#This Row],[Chest pain level]]=4, "Asymptomatic"))))</f>
        <v>Atypical Angina</v>
      </c>
      <c r="G116" s="1">
        <v>120</v>
      </c>
      <c r="H116" s="1" t="str">
        <f>IF(Table2[[#This Row],[BP]]&lt;=120, "Normal",  IF(Table2[[#This Row],[BP]]&lt;=130, "Slightly Elevated", IF(Table2[[#This Row],[BP]]&lt;=140, "High", "Very High")))</f>
        <v>Normal</v>
      </c>
      <c r="I116" s="1">
        <v>295</v>
      </c>
      <c r="J116" s="1" t="str">
        <f>IF(Table2[[#This Row],[Cholesterol]]&gt;=240, "High", "Normal")</f>
        <v>High</v>
      </c>
      <c r="K116" s="1">
        <v>0</v>
      </c>
      <c r="L116" s="1" t="str">
        <f>IF(Table2[[#This Row],[FBS over 120]]=0, "Normal", "High")</f>
        <v>Normal</v>
      </c>
      <c r="M116" s="1">
        <v>0</v>
      </c>
      <c r="N116" s="1" t="str">
        <f>IF(Table2[[#This Row],[EKG results]]=0, "Normal", "Abnormal")</f>
        <v>Normal</v>
      </c>
      <c r="O116" s="1">
        <v>162</v>
      </c>
      <c r="P116" s="1">
        <v>0</v>
      </c>
      <c r="Q116" s="1" t="str">
        <f>IF(Table2[[#This Row],[Exercise angina]]=0, "Normal", "Abnormal")</f>
        <v>Normal</v>
      </c>
      <c r="R116" s="1">
        <v>0</v>
      </c>
      <c r="S116" s="1">
        <v>1</v>
      </c>
      <c r="T116" s="1">
        <v>0</v>
      </c>
      <c r="U116" s="1">
        <v>3</v>
      </c>
      <c r="V116"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16" s="1" t="s">
        <v>15</v>
      </c>
    </row>
    <row r="117" spans="1:23" x14ac:dyDescent="0.35">
      <c r="A117" s="1">
        <v>49</v>
      </c>
      <c r="B117" s="1" t="str">
        <f t="shared" si="1"/>
        <v>41-50</v>
      </c>
      <c r="C117" s="1">
        <v>0</v>
      </c>
      <c r="D117" s="1" t="str">
        <f>IF(Table2[[#This Row],[Sex]]=1,"Male", "Female")</f>
        <v>Female</v>
      </c>
      <c r="E117" s="1">
        <v>2</v>
      </c>
      <c r="F117" s="1" t="str">
        <f>IF(Table2[[#This Row],[Chest pain level]]=1, "Typical Angina", IF(Table2[[#This Row],[Chest pain level]]=2, "Atypical Angina", IF(Table2[[#This Row],[Chest pain level]]=3, "Non Anginal Pain", IF(Table2[[#This Row],[Chest pain level]]=4, "Asymptomatic"))))</f>
        <v>Atypical Angina</v>
      </c>
      <c r="G117" s="1">
        <v>134</v>
      </c>
      <c r="H117" s="1" t="str">
        <f>IF(Table2[[#This Row],[BP]]&lt;=120, "Normal",  IF(Table2[[#This Row],[BP]]&lt;=130, "Slightly Elevated", IF(Table2[[#This Row],[BP]]&lt;=140, "High", "Very High")))</f>
        <v>High</v>
      </c>
      <c r="I117" s="1">
        <v>271</v>
      </c>
      <c r="J117" s="1" t="str">
        <f>IF(Table2[[#This Row],[Cholesterol]]&gt;=240, "High", "Normal")</f>
        <v>High</v>
      </c>
      <c r="K117" s="1">
        <v>0</v>
      </c>
      <c r="L117" s="1" t="str">
        <f>IF(Table2[[#This Row],[FBS over 120]]=0, "Normal", "High")</f>
        <v>Normal</v>
      </c>
      <c r="M117" s="1">
        <v>0</v>
      </c>
      <c r="N117" s="1" t="str">
        <f>IF(Table2[[#This Row],[EKG results]]=0, "Normal", "Abnormal")</f>
        <v>Normal</v>
      </c>
      <c r="O117" s="1">
        <v>162</v>
      </c>
      <c r="P117" s="1">
        <v>0</v>
      </c>
      <c r="Q117" s="1" t="str">
        <f>IF(Table2[[#This Row],[Exercise angina]]=0, "Normal", "Abnormal")</f>
        <v>Normal</v>
      </c>
      <c r="R117" s="1">
        <v>0</v>
      </c>
      <c r="S117" s="1">
        <v>2</v>
      </c>
      <c r="T117" s="1">
        <v>0</v>
      </c>
      <c r="U117" s="1">
        <v>3</v>
      </c>
      <c r="V117"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17" s="1" t="s">
        <v>15</v>
      </c>
    </row>
    <row r="118" spans="1:23" x14ac:dyDescent="0.35">
      <c r="A118" s="1">
        <v>46</v>
      </c>
      <c r="B118" s="1" t="str">
        <f t="shared" si="1"/>
        <v>41-50</v>
      </c>
      <c r="C118" s="1">
        <v>1</v>
      </c>
      <c r="D118" s="1" t="str">
        <f>IF(Table2[[#This Row],[Sex]]=1,"Male", "Female")</f>
        <v>Male</v>
      </c>
      <c r="E118" s="1">
        <v>4</v>
      </c>
      <c r="F118" s="1" t="str">
        <f>IF(Table2[[#This Row],[Chest pain level]]=1, "Typical Angina", IF(Table2[[#This Row],[Chest pain level]]=2, "Atypical Angina", IF(Table2[[#This Row],[Chest pain level]]=3, "Non Anginal Pain", IF(Table2[[#This Row],[Chest pain level]]=4, "Asymptomatic"))))</f>
        <v>Asymptomatic</v>
      </c>
      <c r="G118" s="1">
        <v>120</v>
      </c>
      <c r="H118" s="1" t="str">
        <f>IF(Table2[[#This Row],[BP]]&lt;=120, "Normal",  IF(Table2[[#This Row],[BP]]&lt;=130, "Slightly Elevated", IF(Table2[[#This Row],[BP]]&lt;=140, "High", "Very High")))</f>
        <v>Normal</v>
      </c>
      <c r="I118" s="1">
        <v>249</v>
      </c>
      <c r="J118" s="1" t="str">
        <f>IF(Table2[[#This Row],[Cholesterol]]&gt;=240, "High", "Normal")</f>
        <v>High</v>
      </c>
      <c r="K118" s="1">
        <v>0</v>
      </c>
      <c r="L118" s="1" t="str">
        <f>IF(Table2[[#This Row],[FBS over 120]]=0, "Normal", "High")</f>
        <v>Normal</v>
      </c>
      <c r="M118" s="1">
        <v>2</v>
      </c>
      <c r="N118" s="1" t="str">
        <f>IF(Table2[[#This Row],[EKG results]]=0, "Normal", "Abnormal")</f>
        <v>Abnormal</v>
      </c>
      <c r="O118" s="1">
        <v>144</v>
      </c>
      <c r="P118" s="1">
        <v>0</v>
      </c>
      <c r="Q118" s="1" t="str">
        <f>IF(Table2[[#This Row],[Exercise angina]]=0, "Normal", "Abnormal")</f>
        <v>Normal</v>
      </c>
      <c r="R118" s="1">
        <v>0.8</v>
      </c>
      <c r="S118" s="1">
        <v>1</v>
      </c>
      <c r="T118" s="1">
        <v>0</v>
      </c>
      <c r="U118" s="1">
        <v>7</v>
      </c>
      <c r="V118"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18" s="1" t="s">
        <v>14</v>
      </c>
    </row>
    <row r="119" spans="1:23" x14ac:dyDescent="0.35">
      <c r="A119" s="1">
        <v>56</v>
      </c>
      <c r="B119" s="1" t="str">
        <f t="shared" si="1"/>
        <v>51-60</v>
      </c>
      <c r="C119" s="1">
        <v>0</v>
      </c>
      <c r="D119" s="1" t="str">
        <f>IF(Table2[[#This Row],[Sex]]=1,"Male", "Female")</f>
        <v>Female</v>
      </c>
      <c r="E119" s="1">
        <v>4</v>
      </c>
      <c r="F119" s="1" t="str">
        <f>IF(Table2[[#This Row],[Chest pain level]]=1, "Typical Angina", IF(Table2[[#This Row],[Chest pain level]]=2, "Atypical Angina", IF(Table2[[#This Row],[Chest pain level]]=3, "Non Anginal Pain", IF(Table2[[#This Row],[Chest pain level]]=4, "Asymptomatic"))))</f>
        <v>Asymptomatic</v>
      </c>
      <c r="G119" s="1">
        <v>200</v>
      </c>
      <c r="H119" s="1" t="str">
        <f>IF(Table2[[#This Row],[BP]]&lt;=120, "Normal",  IF(Table2[[#This Row],[BP]]&lt;=130, "Slightly Elevated", IF(Table2[[#This Row],[BP]]&lt;=140, "High", "Very High")))</f>
        <v>Very High</v>
      </c>
      <c r="I119" s="1">
        <v>288</v>
      </c>
      <c r="J119" s="1" t="str">
        <f>IF(Table2[[#This Row],[Cholesterol]]&gt;=240, "High", "Normal")</f>
        <v>High</v>
      </c>
      <c r="K119" s="1">
        <v>1</v>
      </c>
      <c r="L119" s="1" t="str">
        <f>IF(Table2[[#This Row],[FBS over 120]]=0, "Normal", "High")</f>
        <v>High</v>
      </c>
      <c r="M119" s="1">
        <v>2</v>
      </c>
      <c r="N119" s="1" t="str">
        <f>IF(Table2[[#This Row],[EKG results]]=0, "Normal", "Abnormal")</f>
        <v>Abnormal</v>
      </c>
      <c r="O119" s="1">
        <v>133</v>
      </c>
      <c r="P119" s="1">
        <v>1</v>
      </c>
      <c r="Q119" s="1" t="str">
        <f>IF(Table2[[#This Row],[Exercise angina]]=0, "Normal", "Abnormal")</f>
        <v>Abnormal</v>
      </c>
      <c r="R119" s="1">
        <v>4</v>
      </c>
      <c r="S119" s="1">
        <v>3</v>
      </c>
      <c r="T119" s="1">
        <v>2</v>
      </c>
      <c r="U119" s="1">
        <v>7</v>
      </c>
      <c r="V119"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19" s="1" t="s">
        <v>14</v>
      </c>
    </row>
    <row r="120" spans="1:23" x14ac:dyDescent="0.35">
      <c r="A120" s="1">
        <v>66</v>
      </c>
      <c r="B120" s="1" t="str">
        <f t="shared" si="1"/>
        <v>61-70</v>
      </c>
      <c r="C120" s="1">
        <v>0</v>
      </c>
      <c r="D120" s="1" t="str">
        <f>IF(Table2[[#This Row],[Sex]]=1,"Male", "Female")</f>
        <v>Female</v>
      </c>
      <c r="E120" s="1">
        <v>1</v>
      </c>
      <c r="F120" s="1" t="str">
        <f>IF(Table2[[#This Row],[Chest pain level]]=1, "Typical Angina", IF(Table2[[#This Row],[Chest pain level]]=2, "Atypical Angina", IF(Table2[[#This Row],[Chest pain level]]=3, "Non Anginal Pain", IF(Table2[[#This Row],[Chest pain level]]=4, "Asymptomatic"))))</f>
        <v>Typical Angina</v>
      </c>
      <c r="G120" s="1">
        <v>150</v>
      </c>
      <c r="H120" s="1" t="str">
        <f>IF(Table2[[#This Row],[BP]]&lt;=120, "Normal",  IF(Table2[[#This Row],[BP]]&lt;=130, "Slightly Elevated", IF(Table2[[#This Row],[BP]]&lt;=140, "High", "Very High")))</f>
        <v>Very High</v>
      </c>
      <c r="I120" s="1">
        <v>226</v>
      </c>
      <c r="J120" s="1" t="str">
        <f>IF(Table2[[#This Row],[Cholesterol]]&gt;=240, "High", "Normal")</f>
        <v>Normal</v>
      </c>
      <c r="K120" s="1">
        <v>0</v>
      </c>
      <c r="L120" s="1" t="str">
        <f>IF(Table2[[#This Row],[FBS over 120]]=0, "Normal", "High")</f>
        <v>Normal</v>
      </c>
      <c r="M120" s="1">
        <v>0</v>
      </c>
      <c r="N120" s="1" t="str">
        <f>IF(Table2[[#This Row],[EKG results]]=0, "Normal", "Abnormal")</f>
        <v>Normal</v>
      </c>
      <c r="O120" s="1">
        <v>114</v>
      </c>
      <c r="P120" s="1">
        <v>0</v>
      </c>
      <c r="Q120" s="1" t="str">
        <f>IF(Table2[[#This Row],[Exercise angina]]=0, "Normal", "Abnormal")</f>
        <v>Normal</v>
      </c>
      <c r="R120" s="1">
        <v>2.6</v>
      </c>
      <c r="S120" s="1">
        <v>3</v>
      </c>
      <c r="T120" s="1">
        <v>0</v>
      </c>
      <c r="U120" s="1">
        <v>3</v>
      </c>
      <c r="V120"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20" s="1" t="s">
        <v>15</v>
      </c>
    </row>
    <row r="121" spans="1:23" x14ac:dyDescent="0.35">
      <c r="A121" s="1">
        <v>56</v>
      </c>
      <c r="B121" s="1" t="str">
        <f t="shared" si="1"/>
        <v>51-60</v>
      </c>
      <c r="C121" s="1">
        <v>1</v>
      </c>
      <c r="D121" s="1" t="str">
        <f>IF(Table2[[#This Row],[Sex]]=1,"Male", "Female")</f>
        <v>Male</v>
      </c>
      <c r="E121" s="1">
        <v>4</v>
      </c>
      <c r="F121" s="1" t="str">
        <f>IF(Table2[[#This Row],[Chest pain level]]=1, "Typical Angina", IF(Table2[[#This Row],[Chest pain level]]=2, "Atypical Angina", IF(Table2[[#This Row],[Chest pain level]]=3, "Non Anginal Pain", IF(Table2[[#This Row],[Chest pain level]]=4, "Asymptomatic"))))</f>
        <v>Asymptomatic</v>
      </c>
      <c r="G121" s="1">
        <v>130</v>
      </c>
      <c r="H121" s="1" t="str">
        <f>IF(Table2[[#This Row],[BP]]&lt;=120, "Normal",  IF(Table2[[#This Row],[BP]]&lt;=130, "Slightly Elevated", IF(Table2[[#This Row],[BP]]&lt;=140, "High", "Very High")))</f>
        <v>Slightly Elevated</v>
      </c>
      <c r="I121" s="1">
        <v>283</v>
      </c>
      <c r="J121" s="1" t="str">
        <f>IF(Table2[[#This Row],[Cholesterol]]&gt;=240, "High", "Normal")</f>
        <v>High</v>
      </c>
      <c r="K121" s="1">
        <v>1</v>
      </c>
      <c r="L121" s="1" t="str">
        <f>IF(Table2[[#This Row],[FBS over 120]]=0, "Normal", "High")</f>
        <v>High</v>
      </c>
      <c r="M121" s="1">
        <v>2</v>
      </c>
      <c r="N121" s="1" t="str">
        <f>IF(Table2[[#This Row],[EKG results]]=0, "Normal", "Abnormal")</f>
        <v>Abnormal</v>
      </c>
      <c r="O121" s="1">
        <v>103</v>
      </c>
      <c r="P121" s="1">
        <v>1</v>
      </c>
      <c r="Q121" s="1" t="str">
        <f>IF(Table2[[#This Row],[Exercise angina]]=0, "Normal", "Abnormal")</f>
        <v>Abnormal</v>
      </c>
      <c r="R121" s="1">
        <v>1.6</v>
      </c>
      <c r="S121" s="1">
        <v>3</v>
      </c>
      <c r="T121" s="1">
        <v>0</v>
      </c>
      <c r="U121" s="1">
        <v>7</v>
      </c>
      <c r="V121"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21" s="1" t="s">
        <v>14</v>
      </c>
    </row>
    <row r="122" spans="1:23" x14ac:dyDescent="0.35">
      <c r="A122" s="1">
        <v>49</v>
      </c>
      <c r="B122" s="1" t="str">
        <f t="shared" si="1"/>
        <v>41-50</v>
      </c>
      <c r="C122" s="1">
        <v>1</v>
      </c>
      <c r="D122" s="1" t="str">
        <f>IF(Table2[[#This Row],[Sex]]=1,"Male", "Female")</f>
        <v>Male</v>
      </c>
      <c r="E122" s="1">
        <v>3</v>
      </c>
      <c r="F122" s="1" t="str">
        <f>IF(Table2[[#This Row],[Chest pain level]]=1, "Typical Angina", IF(Table2[[#This Row],[Chest pain level]]=2, "Atypical Angina", IF(Table2[[#This Row],[Chest pain level]]=3, "Non Anginal Pain", IF(Table2[[#This Row],[Chest pain level]]=4, "Asymptomatic"))))</f>
        <v>Non Anginal Pain</v>
      </c>
      <c r="G122" s="1">
        <v>120</v>
      </c>
      <c r="H122" s="1" t="str">
        <f>IF(Table2[[#This Row],[BP]]&lt;=120, "Normal",  IF(Table2[[#This Row],[BP]]&lt;=130, "Slightly Elevated", IF(Table2[[#This Row],[BP]]&lt;=140, "High", "Very High")))</f>
        <v>Normal</v>
      </c>
      <c r="I122" s="1">
        <v>188</v>
      </c>
      <c r="J122" s="1" t="str">
        <f>IF(Table2[[#This Row],[Cholesterol]]&gt;=240, "High", "Normal")</f>
        <v>Normal</v>
      </c>
      <c r="K122" s="1">
        <v>0</v>
      </c>
      <c r="L122" s="1" t="str">
        <f>IF(Table2[[#This Row],[FBS over 120]]=0, "Normal", "High")</f>
        <v>Normal</v>
      </c>
      <c r="M122" s="1">
        <v>0</v>
      </c>
      <c r="N122" s="1" t="str">
        <f>IF(Table2[[#This Row],[EKG results]]=0, "Normal", "Abnormal")</f>
        <v>Normal</v>
      </c>
      <c r="O122" s="1">
        <v>139</v>
      </c>
      <c r="P122" s="1">
        <v>0</v>
      </c>
      <c r="Q122" s="1" t="str">
        <f>IF(Table2[[#This Row],[Exercise angina]]=0, "Normal", "Abnormal")</f>
        <v>Normal</v>
      </c>
      <c r="R122" s="1">
        <v>2</v>
      </c>
      <c r="S122" s="1">
        <v>2</v>
      </c>
      <c r="T122" s="1">
        <v>3</v>
      </c>
      <c r="U122" s="1">
        <v>7</v>
      </c>
      <c r="V122"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22" s="1" t="s">
        <v>14</v>
      </c>
    </row>
    <row r="123" spans="1:23" x14ac:dyDescent="0.35">
      <c r="A123" s="1">
        <v>54</v>
      </c>
      <c r="B123" s="1" t="str">
        <f t="shared" si="1"/>
        <v>51-60</v>
      </c>
      <c r="C123" s="1">
        <v>1</v>
      </c>
      <c r="D123" s="1" t="str">
        <f>IF(Table2[[#This Row],[Sex]]=1,"Male", "Female")</f>
        <v>Male</v>
      </c>
      <c r="E123" s="1">
        <v>4</v>
      </c>
      <c r="F123" s="1" t="str">
        <f>IF(Table2[[#This Row],[Chest pain level]]=1, "Typical Angina", IF(Table2[[#This Row],[Chest pain level]]=2, "Atypical Angina", IF(Table2[[#This Row],[Chest pain level]]=3, "Non Anginal Pain", IF(Table2[[#This Row],[Chest pain level]]=4, "Asymptomatic"))))</f>
        <v>Asymptomatic</v>
      </c>
      <c r="G123" s="1">
        <v>122</v>
      </c>
      <c r="H123" s="1" t="str">
        <f>IF(Table2[[#This Row],[BP]]&lt;=120, "Normal",  IF(Table2[[#This Row],[BP]]&lt;=130, "Slightly Elevated", IF(Table2[[#This Row],[BP]]&lt;=140, "High", "Very High")))</f>
        <v>Slightly Elevated</v>
      </c>
      <c r="I123" s="1">
        <v>286</v>
      </c>
      <c r="J123" s="1" t="str">
        <f>IF(Table2[[#This Row],[Cholesterol]]&gt;=240, "High", "Normal")</f>
        <v>High</v>
      </c>
      <c r="K123" s="1">
        <v>0</v>
      </c>
      <c r="L123" s="1" t="str">
        <f>IF(Table2[[#This Row],[FBS over 120]]=0, "Normal", "High")</f>
        <v>Normal</v>
      </c>
      <c r="M123" s="1">
        <v>2</v>
      </c>
      <c r="N123" s="1" t="str">
        <f>IF(Table2[[#This Row],[EKG results]]=0, "Normal", "Abnormal")</f>
        <v>Abnormal</v>
      </c>
      <c r="O123" s="1">
        <v>116</v>
      </c>
      <c r="P123" s="1">
        <v>1</v>
      </c>
      <c r="Q123" s="1" t="str">
        <f>IF(Table2[[#This Row],[Exercise angina]]=0, "Normal", "Abnormal")</f>
        <v>Abnormal</v>
      </c>
      <c r="R123" s="1">
        <v>3.2</v>
      </c>
      <c r="S123" s="1">
        <v>2</v>
      </c>
      <c r="T123" s="1">
        <v>2</v>
      </c>
      <c r="U123" s="1">
        <v>3</v>
      </c>
      <c r="V123"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23" s="1" t="s">
        <v>14</v>
      </c>
    </row>
    <row r="124" spans="1:23" x14ac:dyDescent="0.35">
      <c r="A124" s="1">
        <v>57</v>
      </c>
      <c r="B124" s="1" t="str">
        <f t="shared" si="1"/>
        <v>51-60</v>
      </c>
      <c r="C124" s="1">
        <v>1</v>
      </c>
      <c r="D124" s="1" t="str">
        <f>IF(Table2[[#This Row],[Sex]]=1,"Male", "Female")</f>
        <v>Male</v>
      </c>
      <c r="E124" s="1">
        <v>4</v>
      </c>
      <c r="F124" s="1" t="str">
        <f>IF(Table2[[#This Row],[Chest pain level]]=1, "Typical Angina", IF(Table2[[#This Row],[Chest pain level]]=2, "Atypical Angina", IF(Table2[[#This Row],[Chest pain level]]=3, "Non Anginal Pain", IF(Table2[[#This Row],[Chest pain level]]=4, "Asymptomatic"))))</f>
        <v>Asymptomatic</v>
      </c>
      <c r="G124" s="1">
        <v>152</v>
      </c>
      <c r="H124" s="1" t="str">
        <f>IF(Table2[[#This Row],[BP]]&lt;=120, "Normal",  IF(Table2[[#This Row],[BP]]&lt;=130, "Slightly Elevated", IF(Table2[[#This Row],[BP]]&lt;=140, "High", "Very High")))</f>
        <v>Very High</v>
      </c>
      <c r="I124" s="1">
        <v>274</v>
      </c>
      <c r="J124" s="1" t="str">
        <f>IF(Table2[[#This Row],[Cholesterol]]&gt;=240, "High", "Normal")</f>
        <v>High</v>
      </c>
      <c r="K124" s="1">
        <v>0</v>
      </c>
      <c r="L124" s="1" t="str">
        <f>IF(Table2[[#This Row],[FBS over 120]]=0, "Normal", "High")</f>
        <v>Normal</v>
      </c>
      <c r="M124" s="1">
        <v>0</v>
      </c>
      <c r="N124" s="1" t="str">
        <f>IF(Table2[[#This Row],[EKG results]]=0, "Normal", "Abnormal")</f>
        <v>Normal</v>
      </c>
      <c r="O124" s="1">
        <v>88</v>
      </c>
      <c r="P124" s="1">
        <v>1</v>
      </c>
      <c r="Q124" s="1" t="str">
        <f>IF(Table2[[#This Row],[Exercise angina]]=0, "Normal", "Abnormal")</f>
        <v>Abnormal</v>
      </c>
      <c r="R124" s="1">
        <v>1.2</v>
      </c>
      <c r="S124" s="1">
        <v>2</v>
      </c>
      <c r="T124" s="1">
        <v>1</v>
      </c>
      <c r="U124" s="1">
        <v>7</v>
      </c>
      <c r="V124"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24" s="1" t="s">
        <v>14</v>
      </c>
    </row>
    <row r="125" spans="1:23" x14ac:dyDescent="0.35">
      <c r="A125" s="1">
        <v>65</v>
      </c>
      <c r="B125" s="1" t="str">
        <f t="shared" si="1"/>
        <v>61-70</v>
      </c>
      <c r="C125" s="1">
        <v>0</v>
      </c>
      <c r="D125" s="1" t="str">
        <f>IF(Table2[[#This Row],[Sex]]=1,"Male", "Female")</f>
        <v>Female</v>
      </c>
      <c r="E125" s="1">
        <v>3</v>
      </c>
      <c r="F125" s="1" t="str">
        <f>IF(Table2[[#This Row],[Chest pain level]]=1, "Typical Angina", IF(Table2[[#This Row],[Chest pain level]]=2, "Atypical Angina", IF(Table2[[#This Row],[Chest pain level]]=3, "Non Anginal Pain", IF(Table2[[#This Row],[Chest pain level]]=4, "Asymptomatic"))))</f>
        <v>Non Anginal Pain</v>
      </c>
      <c r="G125" s="1">
        <v>160</v>
      </c>
      <c r="H125" s="1" t="str">
        <f>IF(Table2[[#This Row],[BP]]&lt;=120, "Normal",  IF(Table2[[#This Row],[BP]]&lt;=130, "Slightly Elevated", IF(Table2[[#This Row],[BP]]&lt;=140, "High", "Very High")))</f>
        <v>Very High</v>
      </c>
      <c r="I125" s="1">
        <v>360</v>
      </c>
      <c r="J125" s="1" t="str">
        <f>IF(Table2[[#This Row],[Cholesterol]]&gt;=240, "High", "Normal")</f>
        <v>High</v>
      </c>
      <c r="K125" s="1">
        <v>0</v>
      </c>
      <c r="L125" s="1" t="str">
        <f>IF(Table2[[#This Row],[FBS over 120]]=0, "Normal", "High")</f>
        <v>Normal</v>
      </c>
      <c r="M125" s="1">
        <v>2</v>
      </c>
      <c r="N125" s="1" t="str">
        <f>IF(Table2[[#This Row],[EKG results]]=0, "Normal", "Abnormal")</f>
        <v>Abnormal</v>
      </c>
      <c r="O125" s="1">
        <v>151</v>
      </c>
      <c r="P125" s="1">
        <v>0</v>
      </c>
      <c r="Q125" s="1" t="str">
        <f>IF(Table2[[#This Row],[Exercise angina]]=0, "Normal", "Abnormal")</f>
        <v>Normal</v>
      </c>
      <c r="R125" s="1">
        <v>0.8</v>
      </c>
      <c r="S125" s="1">
        <v>1</v>
      </c>
      <c r="T125" s="1">
        <v>0</v>
      </c>
      <c r="U125" s="1">
        <v>3</v>
      </c>
      <c r="V125"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25" s="1" t="s">
        <v>15</v>
      </c>
    </row>
    <row r="126" spans="1:23" x14ac:dyDescent="0.35">
      <c r="A126" s="1">
        <v>54</v>
      </c>
      <c r="B126" s="1" t="str">
        <f t="shared" si="1"/>
        <v>51-60</v>
      </c>
      <c r="C126" s="1">
        <v>1</v>
      </c>
      <c r="D126" s="1" t="str">
        <f>IF(Table2[[#This Row],[Sex]]=1,"Male", "Female")</f>
        <v>Male</v>
      </c>
      <c r="E126" s="1">
        <v>3</v>
      </c>
      <c r="F126" s="1" t="str">
        <f>IF(Table2[[#This Row],[Chest pain level]]=1, "Typical Angina", IF(Table2[[#This Row],[Chest pain level]]=2, "Atypical Angina", IF(Table2[[#This Row],[Chest pain level]]=3, "Non Anginal Pain", IF(Table2[[#This Row],[Chest pain level]]=4, "Asymptomatic"))))</f>
        <v>Non Anginal Pain</v>
      </c>
      <c r="G126" s="1">
        <v>125</v>
      </c>
      <c r="H126" s="1" t="str">
        <f>IF(Table2[[#This Row],[BP]]&lt;=120, "Normal",  IF(Table2[[#This Row],[BP]]&lt;=130, "Slightly Elevated", IF(Table2[[#This Row],[BP]]&lt;=140, "High", "Very High")))</f>
        <v>Slightly Elevated</v>
      </c>
      <c r="I126" s="1">
        <v>273</v>
      </c>
      <c r="J126" s="1" t="str">
        <f>IF(Table2[[#This Row],[Cholesterol]]&gt;=240, "High", "Normal")</f>
        <v>High</v>
      </c>
      <c r="K126" s="1">
        <v>0</v>
      </c>
      <c r="L126" s="1" t="str">
        <f>IF(Table2[[#This Row],[FBS over 120]]=0, "Normal", "High")</f>
        <v>Normal</v>
      </c>
      <c r="M126" s="1">
        <v>2</v>
      </c>
      <c r="N126" s="1" t="str">
        <f>IF(Table2[[#This Row],[EKG results]]=0, "Normal", "Abnormal")</f>
        <v>Abnormal</v>
      </c>
      <c r="O126" s="1">
        <v>152</v>
      </c>
      <c r="P126" s="1">
        <v>0</v>
      </c>
      <c r="Q126" s="1" t="str">
        <f>IF(Table2[[#This Row],[Exercise angina]]=0, "Normal", "Abnormal")</f>
        <v>Normal</v>
      </c>
      <c r="R126" s="1">
        <v>0.5</v>
      </c>
      <c r="S126" s="1">
        <v>3</v>
      </c>
      <c r="T126" s="1">
        <v>1</v>
      </c>
      <c r="U126" s="1">
        <v>3</v>
      </c>
      <c r="V126"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26" s="1" t="s">
        <v>15</v>
      </c>
    </row>
    <row r="127" spans="1:23" x14ac:dyDescent="0.35">
      <c r="A127" s="1">
        <v>54</v>
      </c>
      <c r="B127" s="1" t="str">
        <f t="shared" si="1"/>
        <v>51-60</v>
      </c>
      <c r="C127" s="1">
        <v>0</v>
      </c>
      <c r="D127" s="1" t="str">
        <f>IF(Table2[[#This Row],[Sex]]=1,"Male", "Female")</f>
        <v>Female</v>
      </c>
      <c r="E127" s="1">
        <v>3</v>
      </c>
      <c r="F127" s="1" t="str">
        <f>IF(Table2[[#This Row],[Chest pain level]]=1, "Typical Angina", IF(Table2[[#This Row],[Chest pain level]]=2, "Atypical Angina", IF(Table2[[#This Row],[Chest pain level]]=3, "Non Anginal Pain", IF(Table2[[#This Row],[Chest pain level]]=4, "Asymptomatic"))))</f>
        <v>Non Anginal Pain</v>
      </c>
      <c r="G127" s="1">
        <v>160</v>
      </c>
      <c r="H127" s="1" t="str">
        <f>IF(Table2[[#This Row],[BP]]&lt;=120, "Normal",  IF(Table2[[#This Row],[BP]]&lt;=130, "Slightly Elevated", IF(Table2[[#This Row],[BP]]&lt;=140, "High", "Very High")))</f>
        <v>Very High</v>
      </c>
      <c r="I127" s="1">
        <v>201</v>
      </c>
      <c r="J127" s="1" t="str">
        <f>IF(Table2[[#This Row],[Cholesterol]]&gt;=240, "High", "Normal")</f>
        <v>Normal</v>
      </c>
      <c r="K127" s="1">
        <v>0</v>
      </c>
      <c r="L127" s="1" t="str">
        <f>IF(Table2[[#This Row],[FBS over 120]]=0, "Normal", "High")</f>
        <v>Normal</v>
      </c>
      <c r="M127" s="1">
        <v>0</v>
      </c>
      <c r="N127" s="1" t="str">
        <f>IF(Table2[[#This Row],[EKG results]]=0, "Normal", "Abnormal")</f>
        <v>Normal</v>
      </c>
      <c r="O127" s="1">
        <v>163</v>
      </c>
      <c r="P127" s="1">
        <v>0</v>
      </c>
      <c r="Q127" s="1" t="str">
        <f>IF(Table2[[#This Row],[Exercise angina]]=0, "Normal", "Abnormal")</f>
        <v>Normal</v>
      </c>
      <c r="R127" s="1">
        <v>0</v>
      </c>
      <c r="S127" s="1">
        <v>1</v>
      </c>
      <c r="T127" s="1">
        <v>1</v>
      </c>
      <c r="U127" s="1">
        <v>3</v>
      </c>
      <c r="V127"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27" s="1" t="s">
        <v>15</v>
      </c>
    </row>
    <row r="128" spans="1:23" x14ac:dyDescent="0.35">
      <c r="A128" s="1">
        <v>62</v>
      </c>
      <c r="B128" s="1" t="str">
        <f t="shared" si="1"/>
        <v>61-70</v>
      </c>
      <c r="C128" s="1">
        <v>1</v>
      </c>
      <c r="D128" s="1" t="str">
        <f>IF(Table2[[#This Row],[Sex]]=1,"Male", "Female")</f>
        <v>Male</v>
      </c>
      <c r="E128" s="1">
        <v>4</v>
      </c>
      <c r="F128" s="1" t="str">
        <f>IF(Table2[[#This Row],[Chest pain level]]=1, "Typical Angina", IF(Table2[[#This Row],[Chest pain level]]=2, "Atypical Angina", IF(Table2[[#This Row],[Chest pain level]]=3, "Non Anginal Pain", IF(Table2[[#This Row],[Chest pain level]]=4, "Asymptomatic"))))</f>
        <v>Asymptomatic</v>
      </c>
      <c r="G128" s="1">
        <v>120</v>
      </c>
      <c r="H128" s="1" t="str">
        <f>IF(Table2[[#This Row],[BP]]&lt;=120, "Normal",  IF(Table2[[#This Row],[BP]]&lt;=130, "Slightly Elevated", IF(Table2[[#This Row],[BP]]&lt;=140, "High", "Very High")))</f>
        <v>Normal</v>
      </c>
      <c r="I128" s="1">
        <v>267</v>
      </c>
      <c r="J128" s="1" t="str">
        <f>IF(Table2[[#This Row],[Cholesterol]]&gt;=240, "High", "Normal")</f>
        <v>High</v>
      </c>
      <c r="K128" s="1">
        <v>0</v>
      </c>
      <c r="L128" s="1" t="str">
        <f>IF(Table2[[#This Row],[FBS over 120]]=0, "Normal", "High")</f>
        <v>Normal</v>
      </c>
      <c r="M128" s="1">
        <v>0</v>
      </c>
      <c r="N128" s="1" t="str">
        <f>IF(Table2[[#This Row],[EKG results]]=0, "Normal", "Abnormal")</f>
        <v>Normal</v>
      </c>
      <c r="O128" s="1">
        <v>99</v>
      </c>
      <c r="P128" s="1">
        <v>1</v>
      </c>
      <c r="Q128" s="1" t="str">
        <f>IF(Table2[[#This Row],[Exercise angina]]=0, "Normal", "Abnormal")</f>
        <v>Abnormal</v>
      </c>
      <c r="R128" s="1">
        <v>1.8</v>
      </c>
      <c r="S128" s="1">
        <v>2</v>
      </c>
      <c r="T128" s="1">
        <v>2</v>
      </c>
      <c r="U128" s="1">
        <v>7</v>
      </c>
      <c r="V128"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28" s="1" t="s">
        <v>14</v>
      </c>
    </row>
    <row r="129" spans="1:23" x14ac:dyDescent="0.35">
      <c r="A129" s="1">
        <v>52</v>
      </c>
      <c r="B129" s="1" t="str">
        <f t="shared" si="1"/>
        <v>51-60</v>
      </c>
      <c r="C129" s="1">
        <v>0</v>
      </c>
      <c r="D129" s="1" t="str">
        <f>IF(Table2[[#This Row],[Sex]]=1,"Male", "Female")</f>
        <v>Female</v>
      </c>
      <c r="E129" s="1">
        <v>3</v>
      </c>
      <c r="F129" s="1" t="str">
        <f>IF(Table2[[#This Row],[Chest pain level]]=1, "Typical Angina", IF(Table2[[#This Row],[Chest pain level]]=2, "Atypical Angina", IF(Table2[[#This Row],[Chest pain level]]=3, "Non Anginal Pain", IF(Table2[[#This Row],[Chest pain level]]=4, "Asymptomatic"))))</f>
        <v>Non Anginal Pain</v>
      </c>
      <c r="G129" s="1">
        <v>136</v>
      </c>
      <c r="H129" s="1" t="str">
        <f>IF(Table2[[#This Row],[BP]]&lt;=120, "Normal",  IF(Table2[[#This Row],[BP]]&lt;=130, "Slightly Elevated", IF(Table2[[#This Row],[BP]]&lt;=140, "High", "Very High")))</f>
        <v>High</v>
      </c>
      <c r="I129" s="1">
        <v>196</v>
      </c>
      <c r="J129" s="1" t="str">
        <f>IF(Table2[[#This Row],[Cholesterol]]&gt;=240, "High", "Normal")</f>
        <v>Normal</v>
      </c>
      <c r="K129" s="1">
        <v>0</v>
      </c>
      <c r="L129" s="1" t="str">
        <f>IF(Table2[[#This Row],[FBS over 120]]=0, "Normal", "High")</f>
        <v>Normal</v>
      </c>
      <c r="M129" s="1">
        <v>2</v>
      </c>
      <c r="N129" s="1" t="str">
        <f>IF(Table2[[#This Row],[EKG results]]=0, "Normal", "Abnormal")</f>
        <v>Abnormal</v>
      </c>
      <c r="O129" s="1">
        <v>169</v>
      </c>
      <c r="P129" s="1">
        <v>0</v>
      </c>
      <c r="Q129" s="1" t="str">
        <f>IF(Table2[[#This Row],[Exercise angina]]=0, "Normal", "Abnormal")</f>
        <v>Normal</v>
      </c>
      <c r="R129" s="1">
        <v>0.1</v>
      </c>
      <c r="S129" s="1">
        <v>2</v>
      </c>
      <c r="T129" s="1">
        <v>0</v>
      </c>
      <c r="U129" s="1">
        <v>3</v>
      </c>
      <c r="V129"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29" s="1" t="s">
        <v>15</v>
      </c>
    </row>
    <row r="130" spans="1:23" x14ac:dyDescent="0.35">
      <c r="A130" s="1">
        <v>52</v>
      </c>
      <c r="B130" s="1" t="str">
        <f t="shared" ref="B130:B193" si="2">IF(A130&lt;=30, "Under 30", IF(A130&lt;=40, "31-40", IF(A130&lt;=50, "41-50", IF(A130&lt;=60, "51-60", IF(A130&lt;=70, "61-70", IF(A130&lt;=80, "71-80", "Above 80"))))))</f>
        <v>51-60</v>
      </c>
      <c r="C130" s="1">
        <v>1</v>
      </c>
      <c r="D130" s="1" t="str">
        <f>IF(Table2[[#This Row],[Sex]]=1,"Male", "Female")</f>
        <v>Male</v>
      </c>
      <c r="E130" s="1">
        <v>2</v>
      </c>
      <c r="F130" s="1" t="str">
        <f>IF(Table2[[#This Row],[Chest pain level]]=1, "Typical Angina", IF(Table2[[#This Row],[Chest pain level]]=2, "Atypical Angina", IF(Table2[[#This Row],[Chest pain level]]=3, "Non Anginal Pain", IF(Table2[[#This Row],[Chest pain level]]=4, "Asymptomatic"))))</f>
        <v>Atypical Angina</v>
      </c>
      <c r="G130" s="1">
        <v>134</v>
      </c>
      <c r="H130" s="1" t="str">
        <f>IF(Table2[[#This Row],[BP]]&lt;=120, "Normal",  IF(Table2[[#This Row],[BP]]&lt;=130, "Slightly Elevated", IF(Table2[[#This Row],[BP]]&lt;=140, "High", "Very High")))</f>
        <v>High</v>
      </c>
      <c r="I130" s="1">
        <v>201</v>
      </c>
      <c r="J130" s="1" t="str">
        <f>IF(Table2[[#This Row],[Cholesterol]]&gt;=240, "High", "Normal")</f>
        <v>Normal</v>
      </c>
      <c r="K130" s="1">
        <v>0</v>
      </c>
      <c r="L130" s="1" t="str">
        <f>IF(Table2[[#This Row],[FBS over 120]]=0, "Normal", "High")</f>
        <v>Normal</v>
      </c>
      <c r="M130" s="1">
        <v>0</v>
      </c>
      <c r="N130" s="1" t="str">
        <f>IF(Table2[[#This Row],[EKG results]]=0, "Normal", "Abnormal")</f>
        <v>Normal</v>
      </c>
      <c r="O130" s="1">
        <v>158</v>
      </c>
      <c r="P130" s="1">
        <v>0</v>
      </c>
      <c r="Q130" s="1" t="str">
        <f>IF(Table2[[#This Row],[Exercise angina]]=0, "Normal", "Abnormal")</f>
        <v>Normal</v>
      </c>
      <c r="R130" s="1">
        <v>0.8</v>
      </c>
      <c r="S130" s="1">
        <v>1</v>
      </c>
      <c r="T130" s="1">
        <v>1</v>
      </c>
      <c r="U130" s="1">
        <v>3</v>
      </c>
      <c r="V130"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30" s="1" t="s">
        <v>15</v>
      </c>
    </row>
    <row r="131" spans="1:23" x14ac:dyDescent="0.35">
      <c r="A131" s="1">
        <v>60</v>
      </c>
      <c r="B131" s="1" t="str">
        <f t="shared" si="2"/>
        <v>51-60</v>
      </c>
      <c r="C131" s="1">
        <v>1</v>
      </c>
      <c r="D131" s="1" t="str">
        <f>IF(Table2[[#This Row],[Sex]]=1,"Male", "Female")</f>
        <v>Male</v>
      </c>
      <c r="E131" s="1">
        <v>4</v>
      </c>
      <c r="F131" s="1" t="str">
        <f>IF(Table2[[#This Row],[Chest pain level]]=1, "Typical Angina", IF(Table2[[#This Row],[Chest pain level]]=2, "Atypical Angina", IF(Table2[[#This Row],[Chest pain level]]=3, "Non Anginal Pain", IF(Table2[[#This Row],[Chest pain level]]=4, "Asymptomatic"))))</f>
        <v>Asymptomatic</v>
      </c>
      <c r="G131" s="1">
        <v>117</v>
      </c>
      <c r="H131" s="1" t="str">
        <f>IF(Table2[[#This Row],[BP]]&lt;=120, "Normal",  IF(Table2[[#This Row],[BP]]&lt;=130, "Slightly Elevated", IF(Table2[[#This Row],[BP]]&lt;=140, "High", "Very High")))</f>
        <v>Normal</v>
      </c>
      <c r="I131" s="1">
        <v>230</v>
      </c>
      <c r="J131" s="1" t="str">
        <f>IF(Table2[[#This Row],[Cholesterol]]&gt;=240, "High", "Normal")</f>
        <v>Normal</v>
      </c>
      <c r="K131" s="1">
        <v>1</v>
      </c>
      <c r="L131" s="1" t="str">
        <f>IF(Table2[[#This Row],[FBS over 120]]=0, "Normal", "High")</f>
        <v>High</v>
      </c>
      <c r="M131" s="1">
        <v>0</v>
      </c>
      <c r="N131" s="1" t="str">
        <f>IF(Table2[[#This Row],[EKG results]]=0, "Normal", "Abnormal")</f>
        <v>Normal</v>
      </c>
      <c r="O131" s="1">
        <v>160</v>
      </c>
      <c r="P131" s="1">
        <v>1</v>
      </c>
      <c r="Q131" s="1" t="str">
        <f>IF(Table2[[#This Row],[Exercise angina]]=0, "Normal", "Abnormal")</f>
        <v>Abnormal</v>
      </c>
      <c r="R131" s="1">
        <v>1.4</v>
      </c>
      <c r="S131" s="1">
        <v>1</v>
      </c>
      <c r="T131" s="1">
        <v>2</v>
      </c>
      <c r="U131" s="1">
        <v>7</v>
      </c>
      <c r="V131"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31" s="1" t="s">
        <v>14</v>
      </c>
    </row>
    <row r="132" spans="1:23" x14ac:dyDescent="0.35">
      <c r="A132" s="1">
        <v>63</v>
      </c>
      <c r="B132" s="1" t="str">
        <f t="shared" si="2"/>
        <v>61-70</v>
      </c>
      <c r="C132" s="1">
        <v>0</v>
      </c>
      <c r="D132" s="1" t="str">
        <f>IF(Table2[[#This Row],[Sex]]=1,"Male", "Female")</f>
        <v>Female</v>
      </c>
      <c r="E132" s="1">
        <v>4</v>
      </c>
      <c r="F132" s="1" t="str">
        <f>IF(Table2[[#This Row],[Chest pain level]]=1, "Typical Angina", IF(Table2[[#This Row],[Chest pain level]]=2, "Atypical Angina", IF(Table2[[#This Row],[Chest pain level]]=3, "Non Anginal Pain", IF(Table2[[#This Row],[Chest pain level]]=4, "Asymptomatic"))))</f>
        <v>Asymptomatic</v>
      </c>
      <c r="G132" s="1">
        <v>108</v>
      </c>
      <c r="H132" s="1" t="str">
        <f>IF(Table2[[#This Row],[BP]]&lt;=120, "Normal",  IF(Table2[[#This Row],[BP]]&lt;=130, "Slightly Elevated", IF(Table2[[#This Row],[BP]]&lt;=140, "High", "Very High")))</f>
        <v>Normal</v>
      </c>
      <c r="I132" s="1">
        <v>269</v>
      </c>
      <c r="J132" s="1" t="str">
        <f>IF(Table2[[#This Row],[Cholesterol]]&gt;=240, "High", "Normal")</f>
        <v>High</v>
      </c>
      <c r="K132" s="1">
        <v>0</v>
      </c>
      <c r="L132" s="1" t="str">
        <f>IF(Table2[[#This Row],[FBS over 120]]=0, "Normal", "High")</f>
        <v>Normal</v>
      </c>
      <c r="M132" s="1">
        <v>0</v>
      </c>
      <c r="N132" s="1" t="str">
        <f>IF(Table2[[#This Row],[EKG results]]=0, "Normal", "Abnormal")</f>
        <v>Normal</v>
      </c>
      <c r="O132" s="1">
        <v>169</v>
      </c>
      <c r="P132" s="1">
        <v>1</v>
      </c>
      <c r="Q132" s="1" t="str">
        <f>IF(Table2[[#This Row],[Exercise angina]]=0, "Normal", "Abnormal")</f>
        <v>Abnormal</v>
      </c>
      <c r="R132" s="1">
        <v>1.8</v>
      </c>
      <c r="S132" s="1">
        <v>2</v>
      </c>
      <c r="T132" s="1">
        <v>2</v>
      </c>
      <c r="U132" s="1">
        <v>3</v>
      </c>
      <c r="V132"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32" s="1" t="s">
        <v>14</v>
      </c>
    </row>
    <row r="133" spans="1:23" x14ac:dyDescent="0.35">
      <c r="A133" s="1">
        <v>66</v>
      </c>
      <c r="B133" s="1" t="str">
        <f t="shared" si="2"/>
        <v>61-70</v>
      </c>
      <c r="C133" s="1">
        <v>1</v>
      </c>
      <c r="D133" s="1" t="str">
        <f>IF(Table2[[#This Row],[Sex]]=1,"Male", "Female")</f>
        <v>Male</v>
      </c>
      <c r="E133" s="1">
        <v>4</v>
      </c>
      <c r="F133" s="1" t="str">
        <f>IF(Table2[[#This Row],[Chest pain level]]=1, "Typical Angina", IF(Table2[[#This Row],[Chest pain level]]=2, "Atypical Angina", IF(Table2[[#This Row],[Chest pain level]]=3, "Non Anginal Pain", IF(Table2[[#This Row],[Chest pain level]]=4, "Asymptomatic"))))</f>
        <v>Asymptomatic</v>
      </c>
      <c r="G133" s="1">
        <v>112</v>
      </c>
      <c r="H133" s="1" t="str">
        <f>IF(Table2[[#This Row],[BP]]&lt;=120, "Normal",  IF(Table2[[#This Row],[BP]]&lt;=130, "Slightly Elevated", IF(Table2[[#This Row],[BP]]&lt;=140, "High", "Very High")))</f>
        <v>Normal</v>
      </c>
      <c r="I133" s="1">
        <v>212</v>
      </c>
      <c r="J133" s="1" t="str">
        <f>IF(Table2[[#This Row],[Cholesterol]]&gt;=240, "High", "Normal")</f>
        <v>Normal</v>
      </c>
      <c r="K133" s="1">
        <v>0</v>
      </c>
      <c r="L133" s="1" t="str">
        <f>IF(Table2[[#This Row],[FBS over 120]]=0, "Normal", "High")</f>
        <v>Normal</v>
      </c>
      <c r="M133" s="1">
        <v>2</v>
      </c>
      <c r="N133" s="1" t="str">
        <f>IF(Table2[[#This Row],[EKG results]]=0, "Normal", "Abnormal")</f>
        <v>Abnormal</v>
      </c>
      <c r="O133" s="1">
        <v>132</v>
      </c>
      <c r="P133" s="1">
        <v>1</v>
      </c>
      <c r="Q133" s="1" t="str">
        <f>IF(Table2[[#This Row],[Exercise angina]]=0, "Normal", "Abnormal")</f>
        <v>Abnormal</v>
      </c>
      <c r="R133" s="1">
        <v>0.1</v>
      </c>
      <c r="S133" s="1">
        <v>1</v>
      </c>
      <c r="T133" s="1">
        <v>1</v>
      </c>
      <c r="U133" s="1">
        <v>3</v>
      </c>
      <c r="V133"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33" s="1" t="s">
        <v>14</v>
      </c>
    </row>
    <row r="134" spans="1:23" x14ac:dyDescent="0.35">
      <c r="A134" s="1">
        <v>42</v>
      </c>
      <c r="B134" s="1" t="str">
        <f t="shared" si="2"/>
        <v>41-50</v>
      </c>
      <c r="C134" s="1">
        <v>1</v>
      </c>
      <c r="D134" s="1" t="str">
        <f>IF(Table2[[#This Row],[Sex]]=1,"Male", "Female")</f>
        <v>Male</v>
      </c>
      <c r="E134" s="1">
        <v>4</v>
      </c>
      <c r="F134" s="1" t="str">
        <f>IF(Table2[[#This Row],[Chest pain level]]=1, "Typical Angina", IF(Table2[[#This Row],[Chest pain level]]=2, "Atypical Angina", IF(Table2[[#This Row],[Chest pain level]]=3, "Non Anginal Pain", IF(Table2[[#This Row],[Chest pain level]]=4, "Asymptomatic"))))</f>
        <v>Asymptomatic</v>
      </c>
      <c r="G134" s="1">
        <v>140</v>
      </c>
      <c r="H134" s="1" t="str">
        <f>IF(Table2[[#This Row],[BP]]&lt;=120, "Normal",  IF(Table2[[#This Row],[BP]]&lt;=130, "Slightly Elevated", IF(Table2[[#This Row],[BP]]&lt;=140, "High", "Very High")))</f>
        <v>High</v>
      </c>
      <c r="I134" s="1">
        <v>226</v>
      </c>
      <c r="J134" s="1" t="str">
        <f>IF(Table2[[#This Row],[Cholesterol]]&gt;=240, "High", "Normal")</f>
        <v>Normal</v>
      </c>
      <c r="K134" s="1">
        <v>0</v>
      </c>
      <c r="L134" s="1" t="str">
        <f>IF(Table2[[#This Row],[FBS over 120]]=0, "Normal", "High")</f>
        <v>Normal</v>
      </c>
      <c r="M134" s="1">
        <v>0</v>
      </c>
      <c r="N134" s="1" t="str">
        <f>IF(Table2[[#This Row],[EKG results]]=0, "Normal", "Abnormal")</f>
        <v>Normal</v>
      </c>
      <c r="O134" s="1">
        <v>178</v>
      </c>
      <c r="P134" s="1">
        <v>0</v>
      </c>
      <c r="Q134" s="1" t="str">
        <f>IF(Table2[[#This Row],[Exercise angina]]=0, "Normal", "Abnormal")</f>
        <v>Normal</v>
      </c>
      <c r="R134" s="1">
        <v>0</v>
      </c>
      <c r="S134" s="1">
        <v>1</v>
      </c>
      <c r="T134" s="1">
        <v>0</v>
      </c>
      <c r="U134" s="1">
        <v>3</v>
      </c>
      <c r="V134"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34" s="1" t="s">
        <v>15</v>
      </c>
    </row>
    <row r="135" spans="1:23" x14ac:dyDescent="0.35">
      <c r="A135" s="1">
        <v>64</v>
      </c>
      <c r="B135" s="1" t="str">
        <f t="shared" si="2"/>
        <v>61-70</v>
      </c>
      <c r="C135" s="1">
        <v>1</v>
      </c>
      <c r="D135" s="1" t="str">
        <f>IF(Table2[[#This Row],[Sex]]=1,"Male", "Female")</f>
        <v>Male</v>
      </c>
      <c r="E135" s="1">
        <v>4</v>
      </c>
      <c r="F135" s="1" t="str">
        <f>IF(Table2[[#This Row],[Chest pain level]]=1, "Typical Angina", IF(Table2[[#This Row],[Chest pain level]]=2, "Atypical Angina", IF(Table2[[#This Row],[Chest pain level]]=3, "Non Anginal Pain", IF(Table2[[#This Row],[Chest pain level]]=4, "Asymptomatic"))))</f>
        <v>Asymptomatic</v>
      </c>
      <c r="G135" s="1">
        <v>120</v>
      </c>
      <c r="H135" s="1" t="str">
        <f>IF(Table2[[#This Row],[BP]]&lt;=120, "Normal",  IF(Table2[[#This Row],[BP]]&lt;=130, "Slightly Elevated", IF(Table2[[#This Row],[BP]]&lt;=140, "High", "Very High")))</f>
        <v>Normal</v>
      </c>
      <c r="I135" s="1">
        <v>246</v>
      </c>
      <c r="J135" s="1" t="str">
        <f>IF(Table2[[#This Row],[Cholesterol]]&gt;=240, "High", "Normal")</f>
        <v>High</v>
      </c>
      <c r="K135" s="1">
        <v>0</v>
      </c>
      <c r="L135" s="1" t="str">
        <f>IF(Table2[[#This Row],[FBS over 120]]=0, "Normal", "High")</f>
        <v>Normal</v>
      </c>
      <c r="M135" s="1">
        <v>2</v>
      </c>
      <c r="N135" s="1" t="str">
        <f>IF(Table2[[#This Row],[EKG results]]=0, "Normal", "Abnormal")</f>
        <v>Abnormal</v>
      </c>
      <c r="O135" s="1">
        <v>96</v>
      </c>
      <c r="P135" s="1">
        <v>1</v>
      </c>
      <c r="Q135" s="1" t="str">
        <f>IF(Table2[[#This Row],[Exercise angina]]=0, "Normal", "Abnormal")</f>
        <v>Abnormal</v>
      </c>
      <c r="R135" s="1">
        <v>2.2000000000000002</v>
      </c>
      <c r="S135" s="1">
        <v>3</v>
      </c>
      <c r="T135" s="1">
        <v>1</v>
      </c>
      <c r="U135" s="1">
        <v>3</v>
      </c>
      <c r="V135"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35" s="1" t="s">
        <v>14</v>
      </c>
    </row>
    <row r="136" spans="1:23" x14ac:dyDescent="0.35">
      <c r="A136" s="1">
        <v>54</v>
      </c>
      <c r="B136" s="1" t="str">
        <f t="shared" si="2"/>
        <v>51-60</v>
      </c>
      <c r="C136" s="1">
        <v>1</v>
      </c>
      <c r="D136" s="1" t="str">
        <f>IF(Table2[[#This Row],[Sex]]=1,"Male", "Female")</f>
        <v>Male</v>
      </c>
      <c r="E136" s="1">
        <v>3</v>
      </c>
      <c r="F136" s="1" t="str">
        <f>IF(Table2[[#This Row],[Chest pain level]]=1, "Typical Angina", IF(Table2[[#This Row],[Chest pain level]]=2, "Atypical Angina", IF(Table2[[#This Row],[Chest pain level]]=3, "Non Anginal Pain", IF(Table2[[#This Row],[Chest pain level]]=4, "Asymptomatic"))))</f>
        <v>Non Anginal Pain</v>
      </c>
      <c r="G136" s="1">
        <v>150</v>
      </c>
      <c r="H136" s="1" t="str">
        <f>IF(Table2[[#This Row],[BP]]&lt;=120, "Normal",  IF(Table2[[#This Row],[BP]]&lt;=130, "Slightly Elevated", IF(Table2[[#This Row],[BP]]&lt;=140, "High", "Very High")))</f>
        <v>Very High</v>
      </c>
      <c r="I136" s="1">
        <v>232</v>
      </c>
      <c r="J136" s="1" t="str">
        <f>IF(Table2[[#This Row],[Cholesterol]]&gt;=240, "High", "Normal")</f>
        <v>Normal</v>
      </c>
      <c r="K136" s="1">
        <v>0</v>
      </c>
      <c r="L136" s="1" t="str">
        <f>IF(Table2[[#This Row],[FBS over 120]]=0, "Normal", "High")</f>
        <v>Normal</v>
      </c>
      <c r="M136" s="1">
        <v>2</v>
      </c>
      <c r="N136" s="1" t="str">
        <f>IF(Table2[[#This Row],[EKG results]]=0, "Normal", "Abnormal")</f>
        <v>Abnormal</v>
      </c>
      <c r="O136" s="1">
        <v>165</v>
      </c>
      <c r="P136" s="1">
        <v>0</v>
      </c>
      <c r="Q136" s="1" t="str">
        <f>IF(Table2[[#This Row],[Exercise angina]]=0, "Normal", "Abnormal")</f>
        <v>Normal</v>
      </c>
      <c r="R136" s="1">
        <v>1.6</v>
      </c>
      <c r="S136" s="1">
        <v>1</v>
      </c>
      <c r="T136" s="1">
        <v>0</v>
      </c>
      <c r="U136" s="1">
        <v>7</v>
      </c>
      <c r="V136"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36" s="1" t="s">
        <v>15</v>
      </c>
    </row>
    <row r="137" spans="1:23" x14ac:dyDescent="0.35">
      <c r="A137" s="1">
        <v>46</v>
      </c>
      <c r="B137" s="1" t="str">
        <f t="shared" si="2"/>
        <v>41-50</v>
      </c>
      <c r="C137" s="1">
        <v>0</v>
      </c>
      <c r="D137" s="1" t="str">
        <f>IF(Table2[[#This Row],[Sex]]=1,"Male", "Female")</f>
        <v>Female</v>
      </c>
      <c r="E137" s="1">
        <v>3</v>
      </c>
      <c r="F137" s="1" t="str">
        <f>IF(Table2[[#This Row],[Chest pain level]]=1, "Typical Angina", IF(Table2[[#This Row],[Chest pain level]]=2, "Atypical Angina", IF(Table2[[#This Row],[Chest pain level]]=3, "Non Anginal Pain", IF(Table2[[#This Row],[Chest pain level]]=4, "Asymptomatic"))))</f>
        <v>Non Anginal Pain</v>
      </c>
      <c r="G137" s="1">
        <v>142</v>
      </c>
      <c r="H137" s="1" t="str">
        <f>IF(Table2[[#This Row],[BP]]&lt;=120, "Normal",  IF(Table2[[#This Row],[BP]]&lt;=130, "Slightly Elevated", IF(Table2[[#This Row],[BP]]&lt;=140, "High", "Very High")))</f>
        <v>Very High</v>
      </c>
      <c r="I137" s="1">
        <v>177</v>
      </c>
      <c r="J137" s="1" t="str">
        <f>IF(Table2[[#This Row],[Cholesterol]]&gt;=240, "High", "Normal")</f>
        <v>Normal</v>
      </c>
      <c r="K137" s="1">
        <v>0</v>
      </c>
      <c r="L137" s="1" t="str">
        <f>IF(Table2[[#This Row],[FBS over 120]]=0, "Normal", "High")</f>
        <v>Normal</v>
      </c>
      <c r="M137" s="1">
        <v>2</v>
      </c>
      <c r="N137" s="1" t="str">
        <f>IF(Table2[[#This Row],[EKG results]]=0, "Normal", "Abnormal")</f>
        <v>Abnormal</v>
      </c>
      <c r="O137" s="1">
        <v>160</v>
      </c>
      <c r="P137" s="1">
        <v>1</v>
      </c>
      <c r="Q137" s="1" t="str">
        <f>IF(Table2[[#This Row],[Exercise angina]]=0, "Normal", "Abnormal")</f>
        <v>Abnormal</v>
      </c>
      <c r="R137" s="1">
        <v>1.4</v>
      </c>
      <c r="S137" s="1">
        <v>3</v>
      </c>
      <c r="T137" s="1">
        <v>0</v>
      </c>
      <c r="U137" s="1">
        <v>3</v>
      </c>
      <c r="V137"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37" s="1" t="s">
        <v>15</v>
      </c>
    </row>
    <row r="138" spans="1:23" x14ac:dyDescent="0.35">
      <c r="A138" s="1">
        <v>67</v>
      </c>
      <c r="B138" s="1" t="str">
        <f t="shared" si="2"/>
        <v>61-70</v>
      </c>
      <c r="C138" s="1">
        <v>0</v>
      </c>
      <c r="D138" s="1" t="str">
        <f>IF(Table2[[#This Row],[Sex]]=1,"Male", "Female")</f>
        <v>Female</v>
      </c>
      <c r="E138" s="1">
        <v>3</v>
      </c>
      <c r="F138" s="1" t="str">
        <f>IF(Table2[[#This Row],[Chest pain level]]=1, "Typical Angina", IF(Table2[[#This Row],[Chest pain level]]=2, "Atypical Angina", IF(Table2[[#This Row],[Chest pain level]]=3, "Non Anginal Pain", IF(Table2[[#This Row],[Chest pain level]]=4, "Asymptomatic"))))</f>
        <v>Non Anginal Pain</v>
      </c>
      <c r="G138" s="1">
        <v>152</v>
      </c>
      <c r="H138" s="1" t="str">
        <f>IF(Table2[[#This Row],[BP]]&lt;=120, "Normal",  IF(Table2[[#This Row],[BP]]&lt;=130, "Slightly Elevated", IF(Table2[[#This Row],[BP]]&lt;=140, "High", "Very High")))</f>
        <v>Very High</v>
      </c>
      <c r="I138" s="1">
        <v>277</v>
      </c>
      <c r="J138" s="1" t="str">
        <f>IF(Table2[[#This Row],[Cholesterol]]&gt;=240, "High", "Normal")</f>
        <v>High</v>
      </c>
      <c r="K138" s="1">
        <v>0</v>
      </c>
      <c r="L138" s="1" t="str">
        <f>IF(Table2[[#This Row],[FBS over 120]]=0, "Normal", "High")</f>
        <v>Normal</v>
      </c>
      <c r="M138" s="1">
        <v>0</v>
      </c>
      <c r="N138" s="1" t="str">
        <f>IF(Table2[[#This Row],[EKG results]]=0, "Normal", "Abnormal")</f>
        <v>Normal</v>
      </c>
      <c r="O138" s="1">
        <v>172</v>
      </c>
      <c r="P138" s="1">
        <v>0</v>
      </c>
      <c r="Q138" s="1" t="str">
        <f>IF(Table2[[#This Row],[Exercise angina]]=0, "Normal", "Abnormal")</f>
        <v>Normal</v>
      </c>
      <c r="R138" s="1">
        <v>0</v>
      </c>
      <c r="S138" s="1">
        <v>1</v>
      </c>
      <c r="T138" s="1">
        <v>1</v>
      </c>
      <c r="U138" s="1">
        <v>3</v>
      </c>
      <c r="V138"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38" s="1" t="s">
        <v>15</v>
      </c>
    </row>
    <row r="139" spans="1:23" x14ac:dyDescent="0.35">
      <c r="A139" s="1">
        <v>56</v>
      </c>
      <c r="B139" s="1" t="str">
        <f t="shared" si="2"/>
        <v>51-60</v>
      </c>
      <c r="C139" s="1">
        <v>1</v>
      </c>
      <c r="D139" s="1" t="str">
        <f>IF(Table2[[#This Row],[Sex]]=1,"Male", "Female")</f>
        <v>Male</v>
      </c>
      <c r="E139" s="1">
        <v>4</v>
      </c>
      <c r="F139" s="1" t="str">
        <f>IF(Table2[[#This Row],[Chest pain level]]=1, "Typical Angina", IF(Table2[[#This Row],[Chest pain level]]=2, "Atypical Angina", IF(Table2[[#This Row],[Chest pain level]]=3, "Non Anginal Pain", IF(Table2[[#This Row],[Chest pain level]]=4, "Asymptomatic"))))</f>
        <v>Asymptomatic</v>
      </c>
      <c r="G139" s="1">
        <v>125</v>
      </c>
      <c r="H139" s="1" t="str">
        <f>IF(Table2[[#This Row],[BP]]&lt;=120, "Normal",  IF(Table2[[#This Row],[BP]]&lt;=130, "Slightly Elevated", IF(Table2[[#This Row],[BP]]&lt;=140, "High", "Very High")))</f>
        <v>Slightly Elevated</v>
      </c>
      <c r="I139" s="1">
        <v>249</v>
      </c>
      <c r="J139" s="1" t="str">
        <f>IF(Table2[[#This Row],[Cholesterol]]&gt;=240, "High", "Normal")</f>
        <v>High</v>
      </c>
      <c r="K139" s="1">
        <v>1</v>
      </c>
      <c r="L139" s="1" t="str">
        <f>IF(Table2[[#This Row],[FBS over 120]]=0, "Normal", "High")</f>
        <v>High</v>
      </c>
      <c r="M139" s="1">
        <v>2</v>
      </c>
      <c r="N139" s="1" t="str">
        <f>IF(Table2[[#This Row],[EKG results]]=0, "Normal", "Abnormal")</f>
        <v>Abnormal</v>
      </c>
      <c r="O139" s="1">
        <v>144</v>
      </c>
      <c r="P139" s="1">
        <v>1</v>
      </c>
      <c r="Q139" s="1" t="str">
        <f>IF(Table2[[#This Row],[Exercise angina]]=0, "Normal", "Abnormal")</f>
        <v>Abnormal</v>
      </c>
      <c r="R139" s="1">
        <v>1.2</v>
      </c>
      <c r="S139" s="1">
        <v>2</v>
      </c>
      <c r="T139" s="1">
        <v>1</v>
      </c>
      <c r="U139" s="1">
        <v>3</v>
      </c>
      <c r="V139"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39" s="1" t="s">
        <v>14</v>
      </c>
    </row>
    <row r="140" spans="1:23" x14ac:dyDescent="0.35">
      <c r="A140" s="1">
        <v>34</v>
      </c>
      <c r="B140" s="1" t="str">
        <f t="shared" si="2"/>
        <v>31-40</v>
      </c>
      <c r="C140" s="1">
        <v>0</v>
      </c>
      <c r="D140" s="1" t="str">
        <f>IF(Table2[[#This Row],[Sex]]=1,"Male", "Female")</f>
        <v>Female</v>
      </c>
      <c r="E140" s="1">
        <v>2</v>
      </c>
      <c r="F140" s="1" t="str">
        <f>IF(Table2[[#This Row],[Chest pain level]]=1, "Typical Angina", IF(Table2[[#This Row],[Chest pain level]]=2, "Atypical Angina", IF(Table2[[#This Row],[Chest pain level]]=3, "Non Anginal Pain", IF(Table2[[#This Row],[Chest pain level]]=4, "Asymptomatic"))))</f>
        <v>Atypical Angina</v>
      </c>
      <c r="G140" s="1">
        <v>118</v>
      </c>
      <c r="H140" s="1" t="str">
        <f>IF(Table2[[#This Row],[BP]]&lt;=120, "Normal",  IF(Table2[[#This Row],[BP]]&lt;=130, "Slightly Elevated", IF(Table2[[#This Row],[BP]]&lt;=140, "High", "Very High")))</f>
        <v>Normal</v>
      </c>
      <c r="I140" s="1">
        <v>210</v>
      </c>
      <c r="J140" s="1" t="str">
        <f>IF(Table2[[#This Row],[Cholesterol]]&gt;=240, "High", "Normal")</f>
        <v>Normal</v>
      </c>
      <c r="K140" s="1">
        <v>0</v>
      </c>
      <c r="L140" s="1" t="str">
        <f>IF(Table2[[#This Row],[FBS over 120]]=0, "Normal", "High")</f>
        <v>Normal</v>
      </c>
      <c r="M140" s="1">
        <v>0</v>
      </c>
      <c r="N140" s="1" t="str">
        <f>IF(Table2[[#This Row],[EKG results]]=0, "Normal", "Abnormal")</f>
        <v>Normal</v>
      </c>
      <c r="O140" s="1">
        <v>192</v>
      </c>
      <c r="P140" s="1">
        <v>0</v>
      </c>
      <c r="Q140" s="1" t="str">
        <f>IF(Table2[[#This Row],[Exercise angina]]=0, "Normal", "Abnormal")</f>
        <v>Normal</v>
      </c>
      <c r="R140" s="1">
        <v>0.7</v>
      </c>
      <c r="S140" s="1">
        <v>1</v>
      </c>
      <c r="T140" s="1">
        <v>0</v>
      </c>
      <c r="U140" s="1">
        <v>3</v>
      </c>
      <c r="V140"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40" s="1" t="s">
        <v>15</v>
      </c>
    </row>
    <row r="141" spans="1:23" x14ac:dyDescent="0.35">
      <c r="A141" s="1">
        <v>57</v>
      </c>
      <c r="B141" s="1" t="str">
        <f t="shared" si="2"/>
        <v>51-60</v>
      </c>
      <c r="C141" s="1">
        <v>1</v>
      </c>
      <c r="D141" s="1" t="str">
        <f>IF(Table2[[#This Row],[Sex]]=1,"Male", "Female")</f>
        <v>Male</v>
      </c>
      <c r="E141" s="1">
        <v>4</v>
      </c>
      <c r="F141" s="1" t="str">
        <f>IF(Table2[[#This Row],[Chest pain level]]=1, "Typical Angina", IF(Table2[[#This Row],[Chest pain level]]=2, "Atypical Angina", IF(Table2[[#This Row],[Chest pain level]]=3, "Non Anginal Pain", IF(Table2[[#This Row],[Chest pain level]]=4, "Asymptomatic"))))</f>
        <v>Asymptomatic</v>
      </c>
      <c r="G141" s="1">
        <v>132</v>
      </c>
      <c r="H141" s="1" t="str">
        <f>IF(Table2[[#This Row],[BP]]&lt;=120, "Normal",  IF(Table2[[#This Row],[BP]]&lt;=130, "Slightly Elevated", IF(Table2[[#This Row],[BP]]&lt;=140, "High", "Very High")))</f>
        <v>High</v>
      </c>
      <c r="I141" s="1">
        <v>207</v>
      </c>
      <c r="J141" s="1" t="str">
        <f>IF(Table2[[#This Row],[Cholesterol]]&gt;=240, "High", "Normal")</f>
        <v>Normal</v>
      </c>
      <c r="K141" s="1">
        <v>0</v>
      </c>
      <c r="L141" s="1" t="str">
        <f>IF(Table2[[#This Row],[FBS over 120]]=0, "Normal", "High")</f>
        <v>Normal</v>
      </c>
      <c r="M141" s="1">
        <v>0</v>
      </c>
      <c r="N141" s="1" t="str">
        <f>IF(Table2[[#This Row],[EKG results]]=0, "Normal", "Abnormal")</f>
        <v>Normal</v>
      </c>
      <c r="O141" s="1">
        <v>168</v>
      </c>
      <c r="P141" s="1">
        <v>1</v>
      </c>
      <c r="Q141" s="1" t="str">
        <f>IF(Table2[[#This Row],[Exercise angina]]=0, "Normal", "Abnormal")</f>
        <v>Abnormal</v>
      </c>
      <c r="R141" s="1">
        <v>0</v>
      </c>
      <c r="S141" s="1">
        <v>1</v>
      </c>
      <c r="T141" s="1">
        <v>0</v>
      </c>
      <c r="U141" s="1">
        <v>7</v>
      </c>
      <c r="V141"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41" s="1" t="s">
        <v>15</v>
      </c>
    </row>
    <row r="142" spans="1:23" x14ac:dyDescent="0.35">
      <c r="A142" s="1">
        <v>64</v>
      </c>
      <c r="B142" s="1" t="str">
        <f t="shared" si="2"/>
        <v>61-70</v>
      </c>
      <c r="C142" s="1">
        <v>1</v>
      </c>
      <c r="D142" s="1" t="str">
        <f>IF(Table2[[#This Row],[Sex]]=1,"Male", "Female")</f>
        <v>Male</v>
      </c>
      <c r="E142" s="1">
        <v>4</v>
      </c>
      <c r="F142" s="1" t="str">
        <f>IF(Table2[[#This Row],[Chest pain level]]=1, "Typical Angina", IF(Table2[[#This Row],[Chest pain level]]=2, "Atypical Angina", IF(Table2[[#This Row],[Chest pain level]]=3, "Non Anginal Pain", IF(Table2[[#This Row],[Chest pain level]]=4, "Asymptomatic"))))</f>
        <v>Asymptomatic</v>
      </c>
      <c r="G142" s="1">
        <v>145</v>
      </c>
      <c r="H142" s="1" t="str">
        <f>IF(Table2[[#This Row],[BP]]&lt;=120, "Normal",  IF(Table2[[#This Row],[BP]]&lt;=130, "Slightly Elevated", IF(Table2[[#This Row],[BP]]&lt;=140, "High", "Very High")))</f>
        <v>Very High</v>
      </c>
      <c r="I142" s="1">
        <v>212</v>
      </c>
      <c r="J142" s="1" t="str">
        <f>IF(Table2[[#This Row],[Cholesterol]]&gt;=240, "High", "Normal")</f>
        <v>Normal</v>
      </c>
      <c r="K142" s="1">
        <v>0</v>
      </c>
      <c r="L142" s="1" t="str">
        <f>IF(Table2[[#This Row],[FBS over 120]]=0, "Normal", "High")</f>
        <v>Normal</v>
      </c>
      <c r="M142" s="1">
        <v>2</v>
      </c>
      <c r="N142" s="1" t="str">
        <f>IF(Table2[[#This Row],[EKG results]]=0, "Normal", "Abnormal")</f>
        <v>Abnormal</v>
      </c>
      <c r="O142" s="1">
        <v>132</v>
      </c>
      <c r="P142" s="1">
        <v>0</v>
      </c>
      <c r="Q142" s="1" t="str">
        <f>IF(Table2[[#This Row],[Exercise angina]]=0, "Normal", "Abnormal")</f>
        <v>Normal</v>
      </c>
      <c r="R142" s="1">
        <v>2</v>
      </c>
      <c r="S142" s="1">
        <v>2</v>
      </c>
      <c r="T142" s="1">
        <v>2</v>
      </c>
      <c r="U142" s="1">
        <v>6</v>
      </c>
      <c r="V142"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42" s="1" t="s">
        <v>14</v>
      </c>
    </row>
    <row r="143" spans="1:23" x14ac:dyDescent="0.35">
      <c r="A143" s="1">
        <v>59</v>
      </c>
      <c r="B143" s="1" t="str">
        <f t="shared" si="2"/>
        <v>51-60</v>
      </c>
      <c r="C143" s="1">
        <v>1</v>
      </c>
      <c r="D143" s="1" t="str">
        <f>IF(Table2[[#This Row],[Sex]]=1,"Male", "Female")</f>
        <v>Male</v>
      </c>
      <c r="E143" s="1">
        <v>4</v>
      </c>
      <c r="F143" s="1" t="str">
        <f>IF(Table2[[#This Row],[Chest pain level]]=1, "Typical Angina", IF(Table2[[#This Row],[Chest pain level]]=2, "Atypical Angina", IF(Table2[[#This Row],[Chest pain level]]=3, "Non Anginal Pain", IF(Table2[[#This Row],[Chest pain level]]=4, "Asymptomatic"))))</f>
        <v>Asymptomatic</v>
      </c>
      <c r="G143" s="1">
        <v>138</v>
      </c>
      <c r="H143" s="1" t="str">
        <f>IF(Table2[[#This Row],[BP]]&lt;=120, "Normal",  IF(Table2[[#This Row],[BP]]&lt;=130, "Slightly Elevated", IF(Table2[[#This Row],[BP]]&lt;=140, "High", "Very High")))</f>
        <v>High</v>
      </c>
      <c r="I143" s="1">
        <v>271</v>
      </c>
      <c r="J143" s="1" t="str">
        <f>IF(Table2[[#This Row],[Cholesterol]]&gt;=240, "High", "Normal")</f>
        <v>High</v>
      </c>
      <c r="K143" s="1">
        <v>0</v>
      </c>
      <c r="L143" s="1" t="str">
        <f>IF(Table2[[#This Row],[FBS over 120]]=0, "Normal", "High")</f>
        <v>Normal</v>
      </c>
      <c r="M143" s="1">
        <v>2</v>
      </c>
      <c r="N143" s="1" t="str">
        <f>IF(Table2[[#This Row],[EKG results]]=0, "Normal", "Abnormal")</f>
        <v>Abnormal</v>
      </c>
      <c r="O143" s="1">
        <v>182</v>
      </c>
      <c r="P143" s="1">
        <v>0</v>
      </c>
      <c r="Q143" s="1" t="str">
        <f>IF(Table2[[#This Row],[Exercise angina]]=0, "Normal", "Abnormal")</f>
        <v>Normal</v>
      </c>
      <c r="R143" s="1">
        <v>0</v>
      </c>
      <c r="S143" s="1">
        <v>1</v>
      </c>
      <c r="T143" s="1">
        <v>0</v>
      </c>
      <c r="U143" s="1">
        <v>3</v>
      </c>
      <c r="V143"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43" s="1" t="s">
        <v>15</v>
      </c>
    </row>
    <row r="144" spans="1:23" x14ac:dyDescent="0.35">
      <c r="A144" s="1">
        <v>50</v>
      </c>
      <c r="B144" s="1" t="str">
        <f t="shared" si="2"/>
        <v>41-50</v>
      </c>
      <c r="C144" s="1">
        <v>1</v>
      </c>
      <c r="D144" s="1" t="str">
        <f>IF(Table2[[#This Row],[Sex]]=1,"Male", "Female")</f>
        <v>Male</v>
      </c>
      <c r="E144" s="1">
        <v>3</v>
      </c>
      <c r="F144" s="1" t="str">
        <f>IF(Table2[[#This Row],[Chest pain level]]=1, "Typical Angina", IF(Table2[[#This Row],[Chest pain level]]=2, "Atypical Angina", IF(Table2[[#This Row],[Chest pain level]]=3, "Non Anginal Pain", IF(Table2[[#This Row],[Chest pain level]]=4, "Asymptomatic"))))</f>
        <v>Non Anginal Pain</v>
      </c>
      <c r="G144" s="1">
        <v>140</v>
      </c>
      <c r="H144" s="1" t="str">
        <f>IF(Table2[[#This Row],[BP]]&lt;=120, "Normal",  IF(Table2[[#This Row],[BP]]&lt;=130, "Slightly Elevated", IF(Table2[[#This Row],[BP]]&lt;=140, "High", "Very High")))</f>
        <v>High</v>
      </c>
      <c r="I144" s="1">
        <v>233</v>
      </c>
      <c r="J144" s="1" t="str">
        <f>IF(Table2[[#This Row],[Cholesterol]]&gt;=240, "High", "Normal")</f>
        <v>Normal</v>
      </c>
      <c r="K144" s="1">
        <v>0</v>
      </c>
      <c r="L144" s="1" t="str">
        <f>IF(Table2[[#This Row],[FBS over 120]]=0, "Normal", "High")</f>
        <v>Normal</v>
      </c>
      <c r="M144" s="1">
        <v>0</v>
      </c>
      <c r="N144" s="1" t="str">
        <f>IF(Table2[[#This Row],[EKG results]]=0, "Normal", "Abnormal")</f>
        <v>Normal</v>
      </c>
      <c r="O144" s="1">
        <v>163</v>
      </c>
      <c r="P144" s="1">
        <v>0</v>
      </c>
      <c r="Q144" s="1" t="str">
        <f>IF(Table2[[#This Row],[Exercise angina]]=0, "Normal", "Abnormal")</f>
        <v>Normal</v>
      </c>
      <c r="R144" s="1">
        <v>0.6</v>
      </c>
      <c r="S144" s="1">
        <v>2</v>
      </c>
      <c r="T144" s="1">
        <v>1</v>
      </c>
      <c r="U144" s="1">
        <v>7</v>
      </c>
      <c r="V144"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44" s="1" t="s">
        <v>14</v>
      </c>
    </row>
    <row r="145" spans="1:23" x14ac:dyDescent="0.35">
      <c r="A145" s="1">
        <v>51</v>
      </c>
      <c r="B145" s="1" t="str">
        <f t="shared" si="2"/>
        <v>51-60</v>
      </c>
      <c r="C145" s="1">
        <v>1</v>
      </c>
      <c r="D145" s="1" t="str">
        <f>IF(Table2[[#This Row],[Sex]]=1,"Male", "Female")</f>
        <v>Male</v>
      </c>
      <c r="E145" s="1">
        <v>1</v>
      </c>
      <c r="F145" s="1" t="str">
        <f>IF(Table2[[#This Row],[Chest pain level]]=1, "Typical Angina", IF(Table2[[#This Row],[Chest pain level]]=2, "Atypical Angina", IF(Table2[[#This Row],[Chest pain level]]=3, "Non Anginal Pain", IF(Table2[[#This Row],[Chest pain level]]=4, "Asymptomatic"))))</f>
        <v>Typical Angina</v>
      </c>
      <c r="G145" s="1">
        <v>125</v>
      </c>
      <c r="H145" s="1" t="str">
        <f>IF(Table2[[#This Row],[BP]]&lt;=120, "Normal",  IF(Table2[[#This Row],[BP]]&lt;=130, "Slightly Elevated", IF(Table2[[#This Row],[BP]]&lt;=140, "High", "Very High")))</f>
        <v>Slightly Elevated</v>
      </c>
      <c r="I145" s="1">
        <v>213</v>
      </c>
      <c r="J145" s="1" t="str">
        <f>IF(Table2[[#This Row],[Cholesterol]]&gt;=240, "High", "Normal")</f>
        <v>Normal</v>
      </c>
      <c r="K145" s="1">
        <v>0</v>
      </c>
      <c r="L145" s="1" t="str">
        <f>IF(Table2[[#This Row],[FBS over 120]]=0, "Normal", "High")</f>
        <v>Normal</v>
      </c>
      <c r="M145" s="1">
        <v>2</v>
      </c>
      <c r="N145" s="1" t="str">
        <f>IF(Table2[[#This Row],[EKG results]]=0, "Normal", "Abnormal")</f>
        <v>Abnormal</v>
      </c>
      <c r="O145" s="1">
        <v>125</v>
      </c>
      <c r="P145" s="1">
        <v>1</v>
      </c>
      <c r="Q145" s="1" t="str">
        <f>IF(Table2[[#This Row],[Exercise angina]]=0, "Normal", "Abnormal")</f>
        <v>Abnormal</v>
      </c>
      <c r="R145" s="1">
        <v>1.4</v>
      </c>
      <c r="S145" s="1">
        <v>1</v>
      </c>
      <c r="T145" s="1">
        <v>1</v>
      </c>
      <c r="U145" s="1">
        <v>3</v>
      </c>
      <c r="V145"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45" s="1" t="s">
        <v>15</v>
      </c>
    </row>
    <row r="146" spans="1:23" x14ac:dyDescent="0.35">
      <c r="A146" s="1">
        <v>54</v>
      </c>
      <c r="B146" s="1" t="str">
        <f t="shared" si="2"/>
        <v>51-60</v>
      </c>
      <c r="C146" s="1">
        <v>1</v>
      </c>
      <c r="D146" s="1" t="str">
        <f>IF(Table2[[#This Row],[Sex]]=1,"Male", "Female")</f>
        <v>Male</v>
      </c>
      <c r="E146" s="1">
        <v>2</v>
      </c>
      <c r="F146" s="1" t="str">
        <f>IF(Table2[[#This Row],[Chest pain level]]=1, "Typical Angina", IF(Table2[[#This Row],[Chest pain level]]=2, "Atypical Angina", IF(Table2[[#This Row],[Chest pain level]]=3, "Non Anginal Pain", IF(Table2[[#This Row],[Chest pain level]]=4, "Asymptomatic"))))</f>
        <v>Atypical Angina</v>
      </c>
      <c r="G146" s="1">
        <v>192</v>
      </c>
      <c r="H146" s="1" t="str">
        <f>IF(Table2[[#This Row],[BP]]&lt;=120, "Normal",  IF(Table2[[#This Row],[BP]]&lt;=130, "Slightly Elevated", IF(Table2[[#This Row],[BP]]&lt;=140, "High", "Very High")))</f>
        <v>Very High</v>
      </c>
      <c r="I146" s="1">
        <v>283</v>
      </c>
      <c r="J146" s="1" t="str">
        <f>IF(Table2[[#This Row],[Cholesterol]]&gt;=240, "High", "Normal")</f>
        <v>High</v>
      </c>
      <c r="K146" s="1">
        <v>0</v>
      </c>
      <c r="L146" s="1" t="str">
        <f>IF(Table2[[#This Row],[FBS over 120]]=0, "Normal", "High")</f>
        <v>Normal</v>
      </c>
      <c r="M146" s="1">
        <v>2</v>
      </c>
      <c r="N146" s="1" t="str">
        <f>IF(Table2[[#This Row],[EKG results]]=0, "Normal", "Abnormal")</f>
        <v>Abnormal</v>
      </c>
      <c r="O146" s="1">
        <v>195</v>
      </c>
      <c r="P146" s="1">
        <v>0</v>
      </c>
      <c r="Q146" s="1" t="str">
        <f>IF(Table2[[#This Row],[Exercise angina]]=0, "Normal", "Abnormal")</f>
        <v>Normal</v>
      </c>
      <c r="R146" s="1">
        <v>0</v>
      </c>
      <c r="S146" s="1">
        <v>1</v>
      </c>
      <c r="T146" s="1">
        <v>1</v>
      </c>
      <c r="U146" s="1">
        <v>7</v>
      </c>
      <c r="V146"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46" s="1" t="s">
        <v>14</v>
      </c>
    </row>
    <row r="147" spans="1:23" x14ac:dyDescent="0.35">
      <c r="A147" s="1">
        <v>53</v>
      </c>
      <c r="B147" s="1" t="str">
        <f t="shared" si="2"/>
        <v>51-60</v>
      </c>
      <c r="C147" s="1">
        <v>1</v>
      </c>
      <c r="D147" s="1" t="str">
        <f>IF(Table2[[#This Row],[Sex]]=1,"Male", "Female")</f>
        <v>Male</v>
      </c>
      <c r="E147" s="1">
        <v>4</v>
      </c>
      <c r="F147" s="1" t="str">
        <f>IF(Table2[[#This Row],[Chest pain level]]=1, "Typical Angina", IF(Table2[[#This Row],[Chest pain level]]=2, "Atypical Angina", IF(Table2[[#This Row],[Chest pain level]]=3, "Non Anginal Pain", IF(Table2[[#This Row],[Chest pain level]]=4, "Asymptomatic"))))</f>
        <v>Asymptomatic</v>
      </c>
      <c r="G147" s="1">
        <v>123</v>
      </c>
      <c r="H147" s="1" t="str">
        <f>IF(Table2[[#This Row],[BP]]&lt;=120, "Normal",  IF(Table2[[#This Row],[BP]]&lt;=130, "Slightly Elevated", IF(Table2[[#This Row],[BP]]&lt;=140, "High", "Very High")))</f>
        <v>Slightly Elevated</v>
      </c>
      <c r="I147" s="1">
        <v>282</v>
      </c>
      <c r="J147" s="1" t="str">
        <f>IF(Table2[[#This Row],[Cholesterol]]&gt;=240, "High", "Normal")</f>
        <v>High</v>
      </c>
      <c r="K147" s="1">
        <v>0</v>
      </c>
      <c r="L147" s="1" t="str">
        <f>IF(Table2[[#This Row],[FBS over 120]]=0, "Normal", "High")</f>
        <v>Normal</v>
      </c>
      <c r="M147" s="1">
        <v>0</v>
      </c>
      <c r="N147" s="1" t="str">
        <f>IF(Table2[[#This Row],[EKG results]]=0, "Normal", "Abnormal")</f>
        <v>Normal</v>
      </c>
      <c r="O147" s="1">
        <v>95</v>
      </c>
      <c r="P147" s="1">
        <v>1</v>
      </c>
      <c r="Q147" s="1" t="str">
        <f>IF(Table2[[#This Row],[Exercise angina]]=0, "Normal", "Abnormal")</f>
        <v>Abnormal</v>
      </c>
      <c r="R147" s="1">
        <v>2</v>
      </c>
      <c r="S147" s="1">
        <v>2</v>
      </c>
      <c r="T147" s="1">
        <v>2</v>
      </c>
      <c r="U147" s="1">
        <v>7</v>
      </c>
      <c r="V147"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47" s="1" t="s">
        <v>14</v>
      </c>
    </row>
    <row r="148" spans="1:23" x14ac:dyDescent="0.35">
      <c r="A148" s="1">
        <v>52</v>
      </c>
      <c r="B148" s="1" t="str">
        <f t="shared" si="2"/>
        <v>51-60</v>
      </c>
      <c r="C148" s="1">
        <v>1</v>
      </c>
      <c r="D148" s="1" t="str">
        <f>IF(Table2[[#This Row],[Sex]]=1,"Male", "Female")</f>
        <v>Male</v>
      </c>
      <c r="E148" s="1">
        <v>4</v>
      </c>
      <c r="F148" s="1" t="str">
        <f>IF(Table2[[#This Row],[Chest pain level]]=1, "Typical Angina", IF(Table2[[#This Row],[Chest pain level]]=2, "Atypical Angina", IF(Table2[[#This Row],[Chest pain level]]=3, "Non Anginal Pain", IF(Table2[[#This Row],[Chest pain level]]=4, "Asymptomatic"))))</f>
        <v>Asymptomatic</v>
      </c>
      <c r="G148" s="1">
        <v>112</v>
      </c>
      <c r="H148" s="1" t="str">
        <f>IF(Table2[[#This Row],[BP]]&lt;=120, "Normal",  IF(Table2[[#This Row],[BP]]&lt;=130, "Slightly Elevated", IF(Table2[[#This Row],[BP]]&lt;=140, "High", "Very High")))</f>
        <v>Normal</v>
      </c>
      <c r="I148" s="1">
        <v>230</v>
      </c>
      <c r="J148" s="1" t="str">
        <f>IF(Table2[[#This Row],[Cholesterol]]&gt;=240, "High", "Normal")</f>
        <v>Normal</v>
      </c>
      <c r="K148" s="1">
        <v>0</v>
      </c>
      <c r="L148" s="1" t="str">
        <f>IF(Table2[[#This Row],[FBS over 120]]=0, "Normal", "High")</f>
        <v>Normal</v>
      </c>
      <c r="M148" s="1">
        <v>0</v>
      </c>
      <c r="N148" s="1" t="str">
        <f>IF(Table2[[#This Row],[EKG results]]=0, "Normal", "Abnormal")</f>
        <v>Normal</v>
      </c>
      <c r="O148" s="1">
        <v>160</v>
      </c>
      <c r="P148" s="1">
        <v>0</v>
      </c>
      <c r="Q148" s="1" t="str">
        <f>IF(Table2[[#This Row],[Exercise angina]]=0, "Normal", "Abnormal")</f>
        <v>Normal</v>
      </c>
      <c r="R148" s="1">
        <v>0</v>
      </c>
      <c r="S148" s="1">
        <v>1</v>
      </c>
      <c r="T148" s="1">
        <v>1</v>
      </c>
      <c r="U148" s="1">
        <v>3</v>
      </c>
      <c r="V148"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48" s="1" t="s">
        <v>14</v>
      </c>
    </row>
    <row r="149" spans="1:23" x14ac:dyDescent="0.35">
      <c r="A149" s="1">
        <v>40</v>
      </c>
      <c r="B149" s="1" t="str">
        <f t="shared" si="2"/>
        <v>31-40</v>
      </c>
      <c r="C149" s="1">
        <v>1</v>
      </c>
      <c r="D149" s="1" t="str">
        <f>IF(Table2[[#This Row],[Sex]]=1,"Male", "Female")</f>
        <v>Male</v>
      </c>
      <c r="E149" s="1">
        <v>4</v>
      </c>
      <c r="F149" s="1" t="str">
        <f>IF(Table2[[#This Row],[Chest pain level]]=1, "Typical Angina", IF(Table2[[#This Row],[Chest pain level]]=2, "Atypical Angina", IF(Table2[[#This Row],[Chest pain level]]=3, "Non Anginal Pain", IF(Table2[[#This Row],[Chest pain level]]=4, "Asymptomatic"))))</f>
        <v>Asymptomatic</v>
      </c>
      <c r="G149" s="1">
        <v>110</v>
      </c>
      <c r="H149" s="1" t="str">
        <f>IF(Table2[[#This Row],[BP]]&lt;=120, "Normal",  IF(Table2[[#This Row],[BP]]&lt;=130, "Slightly Elevated", IF(Table2[[#This Row],[BP]]&lt;=140, "High", "Very High")))</f>
        <v>Normal</v>
      </c>
      <c r="I149" s="1">
        <v>167</v>
      </c>
      <c r="J149" s="1" t="str">
        <f>IF(Table2[[#This Row],[Cholesterol]]&gt;=240, "High", "Normal")</f>
        <v>Normal</v>
      </c>
      <c r="K149" s="1">
        <v>0</v>
      </c>
      <c r="L149" s="1" t="str">
        <f>IF(Table2[[#This Row],[FBS over 120]]=0, "Normal", "High")</f>
        <v>Normal</v>
      </c>
      <c r="M149" s="1">
        <v>2</v>
      </c>
      <c r="N149" s="1" t="str">
        <f>IF(Table2[[#This Row],[EKG results]]=0, "Normal", "Abnormal")</f>
        <v>Abnormal</v>
      </c>
      <c r="O149" s="1">
        <v>114</v>
      </c>
      <c r="P149" s="1">
        <v>1</v>
      </c>
      <c r="Q149" s="1" t="str">
        <f>IF(Table2[[#This Row],[Exercise angina]]=0, "Normal", "Abnormal")</f>
        <v>Abnormal</v>
      </c>
      <c r="R149" s="1">
        <v>2</v>
      </c>
      <c r="S149" s="1">
        <v>2</v>
      </c>
      <c r="T149" s="1">
        <v>0</v>
      </c>
      <c r="U149" s="1">
        <v>7</v>
      </c>
      <c r="V149"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49" s="1" t="s">
        <v>14</v>
      </c>
    </row>
    <row r="150" spans="1:23" x14ac:dyDescent="0.35">
      <c r="A150" s="1">
        <v>58</v>
      </c>
      <c r="B150" s="1" t="str">
        <f t="shared" si="2"/>
        <v>51-60</v>
      </c>
      <c r="C150" s="1">
        <v>1</v>
      </c>
      <c r="D150" s="1" t="str">
        <f>IF(Table2[[#This Row],[Sex]]=1,"Male", "Female")</f>
        <v>Male</v>
      </c>
      <c r="E150" s="1">
        <v>3</v>
      </c>
      <c r="F150" s="1" t="str">
        <f>IF(Table2[[#This Row],[Chest pain level]]=1, "Typical Angina", IF(Table2[[#This Row],[Chest pain level]]=2, "Atypical Angina", IF(Table2[[#This Row],[Chest pain level]]=3, "Non Anginal Pain", IF(Table2[[#This Row],[Chest pain level]]=4, "Asymptomatic"))))</f>
        <v>Non Anginal Pain</v>
      </c>
      <c r="G150" s="1">
        <v>132</v>
      </c>
      <c r="H150" s="1" t="str">
        <f>IF(Table2[[#This Row],[BP]]&lt;=120, "Normal",  IF(Table2[[#This Row],[BP]]&lt;=130, "Slightly Elevated", IF(Table2[[#This Row],[BP]]&lt;=140, "High", "Very High")))</f>
        <v>High</v>
      </c>
      <c r="I150" s="1">
        <v>224</v>
      </c>
      <c r="J150" s="1" t="str">
        <f>IF(Table2[[#This Row],[Cholesterol]]&gt;=240, "High", "Normal")</f>
        <v>Normal</v>
      </c>
      <c r="K150" s="1">
        <v>0</v>
      </c>
      <c r="L150" s="1" t="str">
        <f>IF(Table2[[#This Row],[FBS over 120]]=0, "Normal", "High")</f>
        <v>Normal</v>
      </c>
      <c r="M150" s="1">
        <v>2</v>
      </c>
      <c r="N150" s="1" t="str">
        <f>IF(Table2[[#This Row],[EKG results]]=0, "Normal", "Abnormal")</f>
        <v>Abnormal</v>
      </c>
      <c r="O150" s="1">
        <v>173</v>
      </c>
      <c r="P150" s="1">
        <v>0</v>
      </c>
      <c r="Q150" s="1" t="str">
        <f>IF(Table2[[#This Row],[Exercise angina]]=0, "Normal", "Abnormal")</f>
        <v>Normal</v>
      </c>
      <c r="R150" s="1">
        <v>3.2</v>
      </c>
      <c r="S150" s="1">
        <v>1</v>
      </c>
      <c r="T150" s="1">
        <v>2</v>
      </c>
      <c r="U150" s="1">
        <v>7</v>
      </c>
      <c r="V150"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50" s="1" t="s">
        <v>14</v>
      </c>
    </row>
    <row r="151" spans="1:23" x14ac:dyDescent="0.35">
      <c r="A151" s="1">
        <v>41</v>
      </c>
      <c r="B151" s="1" t="str">
        <f t="shared" si="2"/>
        <v>41-50</v>
      </c>
      <c r="C151" s="1">
        <v>0</v>
      </c>
      <c r="D151" s="1" t="str">
        <f>IF(Table2[[#This Row],[Sex]]=1,"Male", "Female")</f>
        <v>Female</v>
      </c>
      <c r="E151" s="1">
        <v>3</v>
      </c>
      <c r="F151" s="1" t="str">
        <f>IF(Table2[[#This Row],[Chest pain level]]=1, "Typical Angina", IF(Table2[[#This Row],[Chest pain level]]=2, "Atypical Angina", IF(Table2[[#This Row],[Chest pain level]]=3, "Non Anginal Pain", IF(Table2[[#This Row],[Chest pain level]]=4, "Asymptomatic"))))</f>
        <v>Non Anginal Pain</v>
      </c>
      <c r="G151" s="1">
        <v>112</v>
      </c>
      <c r="H151" s="1" t="str">
        <f>IF(Table2[[#This Row],[BP]]&lt;=120, "Normal",  IF(Table2[[#This Row],[BP]]&lt;=130, "Slightly Elevated", IF(Table2[[#This Row],[BP]]&lt;=140, "High", "Very High")))</f>
        <v>Normal</v>
      </c>
      <c r="I151" s="1">
        <v>268</v>
      </c>
      <c r="J151" s="1" t="str">
        <f>IF(Table2[[#This Row],[Cholesterol]]&gt;=240, "High", "Normal")</f>
        <v>High</v>
      </c>
      <c r="K151" s="1">
        <v>0</v>
      </c>
      <c r="L151" s="1" t="str">
        <f>IF(Table2[[#This Row],[FBS over 120]]=0, "Normal", "High")</f>
        <v>Normal</v>
      </c>
      <c r="M151" s="1">
        <v>2</v>
      </c>
      <c r="N151" s="1" t="str">
        <f>IF(Table2[[#This Row],[EKG results]]=0, "Normal", "Abnormal")</f>
        <v>Abnormal</v>
      </c>
      <c r="O151" s="1">
        <v>172</v>
      </c>
      <c r="P151" s="1">
        <v>1</v>
      </c>
      <c r="Q151" s="1" t="str">
        <f>IF(Table2[[#This Row],[Exercise angina]]=0, "Normal", "Abnormal")</f>
        <v>Abnormal</v>
      </c>
      <c r="R151" s="1">
        <v>0</v>
      </c>
      <c r="S151" s="1">
        <v>1</v>
      </c>
      <c r="T151" s="1">
        <v>0</v>
      </c>
      <c r="U151" s="1">
        <v>3</v>
      </c>
      <c r="V151"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51" s="1" t="s">
        <v>15</v>
      </c>
    </row>
    <row r="152" spans="1:23" x14ac:dyDescent="0.35">
      <c r="A152" s="1">
        <v>41</v>
      </c>
      <c r="B152" s="1" t="str">
        <f t="shared" si="2"/>
        <v>41-50</v>
      </c>
      <c r="C152" s="1">
        <v>1</v>
      </c>
      <c r="D152" s="1" t="str">
        <f>IF(Table2[[#This Row],[Sex]]=1,"Male", "Female")</f>
        <v>Male</v>
      </c>
      <c r="E152" s="1">
        <v>3</v>
      </c>
      <c r="F152" s="1" t="str">
        <f>IF(Table2[[#This Row],[Chest pain level]]=1, "Typical Angina", IF(Table2[[#This Row],[Chest pain level]]=2, "Atypical Angina", IF(Table2[[#This Row],[Chest pain level]]=3, "Non Anginal Pain", IF(Table2[[#This Row],[Chest pain level]]=4, "Asymptomatic"))))</f>
        <v>Non Anginal Pain</v>
      </c>
      <c r="G152" s="1">
        <v>112</v>
      </c>
      <c r="H152" s="1" t="str">
        <f>IF(Table2[[#This Row],[BP]]&lt;=120, "Normal",  IF(Table2[[#This Row],[BP]]&lt;=130, "Slightly Elevated", IF(Table2[[#This Row],[BP]]&lt;=140, "High", "Very High")))</f>
        <v>Normal</v>
      </c>
      <c r="I152" s="1">
        <v>250</v>
      </c>
      <c r="J152" s="1" t="str">
        <f>IF(Table2[[#This Row],[Cholesterol]]&gt;=240, "High", "Normal")</f>
        <v>High</v>
      </c>
      <c r="K152" s="1">
        <v>0</v>
      </c>
      <c r="L152" s="1" t="str">
        <f>IF(Table2[[#This Row],[FBS over 120]]=0, "Normal", "High")</f>
        <v>Normal</v>
      </c>
      <c r="M152" s="1">
        <v>0</v>
      </c>
      <c r="N152" s="1" t="str">
        <f>IF(Table2[[#This Row],[EKG results]]=0, "Normal", "Abnormal")</f>
        <v>Normal</v>
      </c>
      <c r="O152" s="1">
        <v>179</v>
      </c>
      <c r="P152" s="1">
        <v>0</v>
      </c>
      <c r="Q152" s="1" t="str">
        <f>IF(Table2[[#This Row],[Exercise angina]]=0, "Normal", "Abnormal")</f>
        <v>Normal</v>
      </c>
      <c r="R152" s="1">
        <v>0</v>
      </c>
      <c r="S152" s="1">
        <v>1</v>
      </c>
      <c r="T152" s="1">
        <v>0</v>
      </c>
      <c r="U152" s="1">
        <v>3</v>
      </c>
      <c r="V152"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52" s="1" t="s">
        <v>15</v>
      </c>
    </row>
    <row r="153" spans="1:23" x14ac:dyDescent="0.35">
      <c r="A153" s="1">
        <v>50</v>
      </c>
      <c r="B153" s="1" t="str">
        <f t="shared" si="2"/>
        <v>41-50</v>
      </c>
      <c r="C153" s="1">
        <v>0</v>
      </c>
      <c r="D153" s="1" t="str">
        <f>IF(Table2[[#This Row],[Sex]]=1,"Male", "Female")</f>
        <v>Female</v>
      </c>
      <c r="E153" s="1">
        <v>3</v>
      </c>
      <c r="F153" s="1" t="str">
        <f>IF(Table2[[#This Row],[Chest pain level]]=1, "Typical Angina", IF(Table2[[#This Row],[Chest pain level]]=2, "Atypical Angina", IF(Table2[[#This Row],[Chest pain level]]=3, "Non Anginal Pain", IF(Table2[[#This Row],[Chest pain level]]=4, "Asymptomatic"))))</f>
        <v>Non Anginal Pain</v>
      </c>
      <c r="G153" s="1">
        <v>120</v>
      </c>
      <c r="H153" s="1" t="str">
        <f>IF(Table2[[#This Row],[BP]]&lt;=120, "Normal",  IF(Table2[[#This Row],[BP]]&lt;=130, "Slightly Elevated", IF(Table2[[#This Row],[BP]]&lt;=140, "High", "Very High")))</f>
        <v>Normal</v>
      </c>
      <c r="I153" s="1">
        <v>219</v>
      </c>
      <c r="J153" s="1" t="str">
        <f>IF(Table2[[#This Row],[Cholesterol]]&gt;=240, "High", "Normal")</f>
        <v>Normal</v>
      </c>
      <c r="K153" s="1">
        <v>0</v>
      </c>
      <c r="L153" s="1" t="str">
        <f>IF(Table2[[#This Row],[FBS over 120]]=0, "Normal", "High")</f>
        <v>Normal</v>
      </c>
      <c r="M153" s="1">
        <v>0</v>
      </c>
      <c r="N153" s="1" t="str">
        <f>IF(Table2[[#This Row],[EKG results]]=0, "Normal", "Abnormal")</f>
        <v>Normal</v>
      </c>
      <c r="O153" s="1">
        <v>158</v>
      </c>
      <c r="P153" s="1">
        <v>0</v>
      </c>
      <c r="Q153" s="1" t="str">
        <f>IF(Table2[[#This Row],[Exercise angina]]=0, "Normal", "Abnormal")</f>
        <v>Normal</v>
      </c>
      <c r="R153" s="1">
        <v>1.6</v>
      </c>
      <c r="S153" s="1">
        <v>2</v>
      </c>
      <c r="T153" s="1">
        <v>0</v>
      </c>
      <c r="U153" s="1">
        <v>3</v>
      </c>
      <c r="V153"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53" s="1" t="s">
        <v>15</v>
      </c>
    </row>
    <row r="154" spans="1:23" x14ac:dyDescent="0.35">
      <c r="A154" s="1">
        <v>54</v>
      </c>
      <c r="B154" s="1" t="str">
        <f t="shared" si="2"/>
        <v>51-60</v>
      </c>
      <c r="C154" s="1">
        <v>0</v>
      </c>
      <c r="D154" s="1" t="str">
        <f>IF(Table2[[#This Row],[Sex]]=1,"Male", "Female")</f>
        <v>Female</v>
      </c>
      <c r="E154" s="1">
        <v>3</v>
      </c>
      <c r="F154" s="1" t="str">
        <f>IF(Table2[[#This Row],[Chest pain level]]=1, "Typical Angina", IF(Table2[[#This Row],[Chest pain level]]=2, "Atypical Angina", IF(Table2[[#This Row],[Chest pain level]]=3, "Non Anginal Pain", IF(Table2[[#This Row],[Chest pain level]]=4, "Asymptomatic"))))</f>
        <v>Non Anginal Pain</v>
      </c>
      <c r="G154" s="1">
        <v>108</v>
      </c>
      <c r="H154" s="1" t="str">
        <f>IF(Table2[[#This Row],[BP]]&lt;=120, "Normal",  IF(Table2[[#This Row],[BP]]&lt;=130, "Slightly Elevated", IF(Table2[[#This Row],[BP]]&lt;=140, "High", "Very High")))</f>
        <v>Normal</v>
      </c>
      <c r="I154" s="1">
        <v>267</v>
      </c>
      <c r="J154" s="1" t="str">
        <f>IF(Table2[[#This Row],[Cholesterol]]&gt;=240, "High", "Normal")</f>
        <v>High</v>
      </c>
      <c r="K154" s="1">
        <v>0</v>
      </c>
      <c r="L154" s="1" t="str">
        <f>IF(Table2[[#This Row],[FBS over 120]]=0, "Normal", "High")</f>
        <v>Normal</v>
      </c>
      <c r="M154" s="1">
        <v>2</v>
      </c>
      <c r="N154" s="1" t="str">
        <f>IF(Table2[[#This Row],[EKG results]]=0, "Normal", "Abnormal")</f>
        <v>Abnormal</v>
      </c>
      <c r="O154" s="1">
        <v>167</v>
      </c>
      <c r="P154" s="1">
        <v>0</v>
      </c>
      <c r="Q154" s="1" t="str">
        <f>IF(Table2[[#This Row],[Exercise angina]]=0, "Normal", "Abnormal")</f>
        <v>Normal</v>
      </c>
      <c r="R154" s="1">
        <v>0</v>
      </c>
      <c r="S154" s="1">
        <v>1</v>
      </c>
      <c r="T154" s="1">
        <v>0</v>
      </c>
      <c r="U154" s="1">
        <v>3</v>
      </c>
      <c r="V154"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54" s="1" t="s">
        <v>15</v>
      </c>
    </row>
    <row r="155" spans="1:23" x14ac:dyDescent="0.35">
      <c r="A155" s="1">
        <v>64</v>
      </c>
      <c r="B155" s="1" t="str">
        <f t="shared" si="2"/>
        <v>61-70</v>
      </c>
      <c r="C155" s="1">
        <v>0</v>
      </c>
      <c r="D155" s="1" t="str">
        <f>IF(Table2[[#This Row],[Sex]]=1,"Male", "Female")</f>
        <v>Female</v>
      </c>
      <c r="E155" s="1">
        <v>4</v>
      </c>
      <c r="F155" s="1" t="str">
        <f>IF(Table2[[#This Row],[Chest pain level]]=1, "Typical Angina", IF(Table2[[#This Row],[Chest pain level]]=2, "Atypical Angina", IF(Table2[[#This Row],[Chest pain level]]=3, "Non Anginal Pain", IF(Table2[[#This Row],[Chest pain level]]=4, "Asymptomatic"))))</f>
        <v>Asymptomatic</v>
      </c>
      <c r="G155" s="1">
        <v>130</v>
      </c>
      <c r="H155" s="1" t="str">
        <f>IF(Table2[[#This Row],[BP]]&lt;=120, "Normal",  IF(Table2[[#This Row],[BP]]&lt;=130, "Slightly Elevated", IF(Table2[[#This Row],[BP]]&lt;=140, "High", "Very High")))</f>
        <v>Slightly Elevated</v>
      </c>
      <c r="I155" s="1">
        <v>303</v>
      </c>
      <c r="J155" s="1" t="str">
        <f>IF(Table2[[#This Row],[Cholesterol]]&gt;=240, "High", "Normal")</f>
        <v>High</v>
      </c>
      <c r="K155" s="1">
        <v>0</v>
      </c>
      <c r="L155" s="1" t="str">
        <f>IF(Table2[[#This Row],[FBS over 120]]=0, "Normal", "High")</f>
        <v>Normal</v>
      </c>
      <c r="M155" s="1">
        <v>0</v>
      </c>
      <c r="N155" s="1" t="str">
        <f>IF(Table2[[#This Row],[EKG results]]=0, "Normal", "Abnormal")</f>
        <v>Normal</v>
      </c>
      <c r="O155" s="1">
        <v>122</v>
      </c>
      <c r="P155" s="1">
        <v>0</v>
      </c>
      <c r="Q155" s="1" t="str">
        <f>IF(Table2[[#This Row],[Exercise angina]]=0, "Normal", "Abnormal")</f>
        <v>Normal</v>
      </c>
      <c r="R155" s="1">
        <v>2</v>
      </c>
      <c r="S155" s="1">
        <v>2</v>
      </c>
      <c r="T155" s="1">
        <v>2</v>
      </c>
      <c r="U155" s="1">
        <v>3</v>
      </c>
      <c r="V155"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55" s="1" t="s">
        <v>15</v>
      </c>
    </row>
    <row r="156" spans="1:23" x14ac:dyDescent="0.35">
      <c r="A156" s="1">
        <v>51</v>
      </c>
      <c r="B156" s="1" t="str">
        <f t="shared" si="2"/>
        <v>51-60</v>
      </c>
      <c r="C156" s="1">
        <v>0</v>
      </c>
      <c r="D156" s="1" t="str">
        <f>IF(Table2[[#This Row],[Sex]]=1,"Male", "Female")</f>
        <v>Female</v>
      </c>
      <c r="E156" s="1">
        <v>3</v>
      </c>
      <c r="F156" s="1" t="str">
        <f>IF(Table2[[#This Row],[Chest pain level]]=1, "Typical Angina", IF(Table2[[#This Row],[Chest pain level]]=2, "Atypical Angina", IF(Table2[[#This Row],[Chest pain level]]=3, "Non Anginal Pain", IF(Table2[[#This Row],[Chest pain level]]=4, "Asymptomatic"))))</f>
        <v>Non Anginal Pain</v>
      </c>
      <c r="G156" s="1">
        <v>130</v>
      </c>
      <c r="H156" s="1" t="str">
        <f>IF(Table2[[#This Row],[BP]]&lt;=120, "Normal",  IF(Table2[[#This Row],[BP]]&lt;=130, "Slightly Elevated", IF(Table2[[#This Row],[BP]]&lt;=140, "High", "Very High")))</f>
        <v>Slightly Elevated</v>
      </c>
      <c r="I156" s="1">
        <v>256</v>
      </c>
      <c r="J156" s="1" t="str">
        <f>IF(Table2[[#This Row],[Cholesterol]]&gt;=240, "High", "Normal")</f>
        <v>High</v>
      </c>
      <c r="K156" s="1">
        <v>0</v>
      </c>
      <c r="L156" s="1" t="str">
        <f>IF(Table2[[#This Row],[FBS over 120]]=0, "Normal", "High")</f>
        <v>Normal</v>
      </c>
      <c r="M156" s="1">
        <v>2</v>
      </c>
      <c r="N156" s="1" t="str">
        <f>IF(Table2[[#This Row],[EKG results]]=0, "Normal", "Abnormal")</f>
        <v>Abnormal</v>
      </c>
      <c r="O156" s="1">
        <v>149</v>
      </c>
      <c r="P156" s="1">
        <v>0</v>
      </c>
      <c r="Q156" s="1" t="str">
        <f>IF(Table2[[#This Row],[Exercise angina]]=0, "Normal", "Abnormal")</f>
        <v>Normal</v>
      </c>
      <c r="R156" s="1">
        <v>0.5</v>
      </c>
      <c r="S156" s="1">
        <v>1</v>
      </c>
      <c r="T156" s="1">
        <v>0</v>
      </c>
      <c r="U156" s="1">
        <v>3</v>
      </c>
      <c r="V156"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56" s="1" t="s">
        <v>15</v>
      </c>
    </row>
    <row r="157" spans="1:23" x14ac:dyDescent="0.35">
      <c r="A157" s="1">
        <v>46</v>
      </c>
      <c r="B157" s="1" t="str">
        <f t="shared" si="2"/>
        <v>41-50</v>
      </c>
      <c r="C157" s="1">
        <v>0</v>
      </c>
      <c r="D157" s="1" t="str">
        <f>IF(Table2[[#This Row],[Sex]]=1,"Male", "Female")</f>
        <v>Female</v>
      </c>
      <c r="E157" s="1">
        <v>2</v>
      </c>
      <c r="F157" s="1" t="str">
        <f>IF(Table2[[#This Row],[Chest pain level]]=1, "Typical Angina", IF(Table2[[#This Row],[Chest pain level]]=2, "Atypical Angina", IF(Table2[[#This Row],[Chest pain level]]=3, "Non Anginal Pain", IF(Table2[[#This Row],[Chest pain level]]=4, "Asymptomatic"))))</f>
        <v>Atypical Angina</v>
      </c>
      <c r="G157" s="1">
        <v>105</v>
      </c>
      <c r="H157" s="1" t="str">
        <f>IF(Table2[[#This Row],[BP]]&lt;=120, "Normal",  IF(Table2[[#This Row],[BP]]&lt;=130, "Slightly Elevated", IF(Table2[[#This Row],[BP]]&lt;=140, "High", "Very High")))</f>
        <v>Normal</v>
      </c>
      <c r="I157" s="1">
        <v>204</v>
      </c>
      <c r="J157" s="1" t="str">
        <f>IF(Table2[[#This Row],[Cholesterol]]&gt;=240, "High", "Normal")</f>
        <v>Normal</v>
      </c>
      <c r="K157" s="1">
        <v>0</v>
      </c>
      <c r="L157" s="1" t="str">
        <f>IF(Table2[[#This Row],[FBS over 120]]=0, "Normal", "High")</f>
        <v>Normal</v>
      </c>
      <c r="M157" s="1">
        <v>0</v>
      </c>
      <c r="N157" s="1" t="str">
        <f>IF(Table2[[#This Row],[EKG results]]=0, "Normal", "Abnormal")</f>
        <v>Normal</v>
      </c>
      <c r="O157" s="1">
        <v>172</v>
      </c>
      <c r="P157" s="1">
        <v>0</v>
      </c>
      <c r="Q157" s="1" t="str">
        <f>IF(Table2[[#This Row],[Exercise angina]]=0, "Normal", "Abnormal")</f>
        <v>Normal</v>
      </c>
      <c r="R157" s="1">
        <v>0</v>
      </c>
      <c r="S157" s="1">
        <v>1</v>
      </c>
      <c r="T157" s="1">
        <v>0</v>
      </c>
      <c r="U157" s="1">
        <v>3</v>
      </c>
      <c r="V157"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57" s="1" t="s">
        <v>15</v>
      </c>
    </row>
    <row r="158" spans="1:23" x14ac:dyDescent="0.35">
      <c r="A158" s="1">
        <v>55</v>
      </c>
      <c r="B158" s="1" t="str">
        <f t="shared" si="2"/>
        <v>51-60</v>
      </c>
      <c r="C158" s="1">
        <v>1</v>
      </c>
      <c r="D158" s="1" t="str">
        <f>IF(Table2[[#This Row],[Sex]]=1,"Male", "Female")</f>
        <v>Male</v>
      </c>
      <c r="E158" s="1">
        <v>4</v>
      </c>
      <c r="F158" s="1" t="str">
        <f>IF(Table2[[#This Row],[Chest pain level]]=1, "Typical Angina", IF(Table2[[#This Row],[Chest pain level]]=2, "Atypical Angina", IF(Table2[[#This Row],[Chest pain level]]=3, "Non Anginal Pain", IF(Table2[[#This Row],[Chest pain level]]=4, "Asymptomatic"))))</f>
        <v>Asymptomatic</v>
      </c>
      <c r="G158" s="1">
        <v>140</v>
      </c>
      <c r="H158" s="1" t="str">
        <f>IF(Table2[[#This Row],[BP]]&lt;=120, "Normal",  IF(Table2[[#This Row],[BP]]&lt;=130, "Slightly Elevated", IF(Table2[[#This Row],[BP]]&lt;=140, "High", "Very High")))</f>
        <v>High</v>
      </c>
      <c r="I158" s="1">
        <v>217</v>
      </c>
      <c r="J158" s="1" t="str">
        <f>IF(Table2[[#This Row],[Cholesterol]]&gt;=240, "High", "Normal")</f>
        <v>Normal</v>
      </c>
      <c r="K158" s="1">
        <v>0</v>
      </c>
      <c r="L158" s="1" t="str">
        <f>IF(Table2[[#This Row],[FBS over 120]]=0, "Normal", "High")</f>
        <v>Normal</v>
      </c>
      <c r="M158" s="1">
        <v>0</v>
      </c>
      <c r="N158" s="1" t="str">
        <f>IF(Table2[[#This Row],[EKG results]]=0, "Normal", "Abnormal")</f>
        <v>Normal</v>
      </c>
      <c r="O158" s="1">
        <v>111</v>
      </c>
      <c r="P158" s="1">
        <v>1</v>
      </c>
      <c r="Q158" s="1" t="str">
        <f>IF(Table2[[#This Row],[Exercise angina]]=0, "Normal", "Abnormal")</f>
        <v>Abnormal</v>
      </c>
      <c r="R158" s="1">
        <v>5.6</v>
      </c>
      <c r="S158" s="1">
        <v>3</v>
      </c>
      <c r="T158" s="1">
        <v>0</v>
      </c>
      <c r="U158" s="1">
        <v>7</v>
      </c>
      <c r="V158"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58" s="1" t="s">
        <v>14</v>
      </c>
    </row>
    <row r="159" spans="1:23" x14ac:dyDescent="0.35">
      <c r="A159" s="1">
        <v>45</v>
      </c>
      <c r="B159" s="1" t="str">
        <f t="shared" si="2"/>
        <v>41-50</v>
      </c>
      <c r="C159" s="1">
        <v>1</v>
      </c>
      <c r="D159" s="1" t="str">
        <f>IF(Table2[[#This Row],[Sex]]=1,"Male", "Female")</f>
        <v>Male</v>
      </c>
      <c r="E159" s="1">
        <v>2</v>
      </c>
      <c r="F159" s="1" t="str">
        <f>IF(Table2[[#This Row],[Chest pain level]]=1, "Typical Angina", IF(Table2[[#This Row],[Chest pain level]]=2, "Atypical Angina", IF(Table2[[#This Row],[Chest pain level]]=3, "Non Anginal Pain", IF(Table2[[#This Row],[Chest pain level]]=4, "Asymptomatic"))))</f>
        <v>Atypical Angina</v>
      </c>
      <c r="G159" s="1">
        <v>128</v>
      </c>
      <c r="H159" s="1" t="str">
        <f>IF(Table2[[#This Row],[BP]]&lt;=120, "Normal",  IF(Table2[[#This Row],[BP]]&lt;=130, "Slightly Elevated", IF(Table2[[#This Row],[BP]]&lt;=140, "High", "Very High")))</f>
        <v>Slightly Elevated</v>
      </c>
      <c r="I159" s="1">
        <v>308</v>
      </c>
      <c r="J159" s="1" t="str">
        <f>IF(Table2[[#This Row],[Cholesterol]]&gt;=240, "High", "Normal")</f>
        <v>High</v>
      </c>
      <c r="K159" s="1">
        <v>0</v>
      </c>
      <c r="L159" s="1" t="str">
        <f>IF(Table2[[#This Row],[FBS over 120]]=0, "Normal", "High")</f>
        <v>Normal</v>
      </c>
      <c r="M159" s="1">
        <v>2</v>
      </c>
      <c r="N159" s="1" t="str">
        <f>IF(Table2[[#This Row],[EKG results]]=0, "Normal", "Abnormal")</f>
        <v>Abnormal</v>
      </c>
      <c r="O159" s="1">
        <v>170</v>
      </c>
      <c r="P159" s="1">
        <v>0</v>
      </c>
      <c r="Q159" s="1" t="str">
        <f>IF(Table2[[#This Row],[Exercise angina]]=0, "Normal", "Abnormal")</f>
        <v>Normal</v>
      </c>
      <c r="R159" s="1">
        <v>0</v>
      </c>
      <c r="S159" s="1">
        <v>1</v>
      </c>
      <c r="T159" s="1">
        <v>0</v>
      </c>
      <c r="U159" s="1">
        <v>3</v>
      </c>
      <c r="V159"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59" s="1" t="s">
        <v>15</v>
      </c>
    </row>
    <row r="160" spans="1:23" x14ac:dyDescent="0.35">
      <c r="A160" s="1">
        <v>56</v>
      </c>
      <c r="B160" s="1" t="str">
        <f t="shared" si="2"/>
        <v>51-60</v>
      </c>
      <c r="C160" s="1">
        <v>1</v>
      </c>
      <c r="D160" s="1" t="str">
        <f>IF(Table2[[#This Row],[Sex]]=1,"Male", "Female")</f>
        <v>Male</v>
      </c>
      <c r="E160" s="1">
        <v>1</v>
      </c>
      <c r="F160" s="1" t="str">
        <f>IF(Table2[[#This Row],[Chest pain level]]=1, "Typical Angina", IF(Table2[[#This Row],[Chest pain level]]=2, "Atypical Angina", IF(Table2[[#This Row],[Chest pain level]]=3, "Non Anginal Pain", IF(Table2[[#This Row],[Chest pain level]]=4, "Asymptomatic"))))</f>
        <v>Typical Angina</v>
      </c>
      <c r="G160" s="1">
        <v>120</v>
      </c>
      <c r="H160" s="1" t="str">
        <f>IF(Table2[[#This Row],[BP]]&lt;=120, "Normal",  IF(Table2[[#This Row],[BP]]&lt;=130, "Slightly Elevated", IF(Table2[[#This Row],[BP]]&lt;=140, "High", "Very High")))</f>
        <v>Normal</v>
      </c>
      <c r="I160" s="1">
        <v>193</v>
      </c>
      <c r="J160" s="1" t="str">
        <f>IF(Table2[[#This Row],[Cholesterol]]&gt;=240, "High", "Normal")</f>
        <v>Normal</v>
      </c>
      <c r="K160" s="1">
        <v>0</v>
      </c>
      <c r="L160" s="1" t="str">
        <f>IF(Table2[[#This Row],[FBS over 120]]=0, "Normal", "High")</f>
        <v>Normal</v>
      </c>
      <c r="M160" s="1">
        <v>2</v>
      </c>
      <c r="N160" s="1" t="str">
        <f>IF(Table2[[#This Row],[EKG results]]=0, "Normal", "Abnormal")</f>
        <v>Abnormal</v>
      </c>
      <c r="O160" s="1">
        <v>162</v>
      </c>
      <c r="P160" s="1">
        <v>0</v>
      </c>
      <c r="Q160" s="1" t="str">
        <f>IF(Table2[[#This Row],[Exercise angina]]=0, "Normal", "Abnormal")</f>
        <v>Normal</v>
      </c>
      <c r="R160" s="1">
        <v>1.9</v>
      </c>
      <c r="S160" s="1">
        <v>2</v>
      </c>
      <c r="T160" s="1">
        <v>0</v>
      </c>
      <c r="U160" s="1">
        <v>7</v>
      </c>
      <c r="V160"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60" s="1" t="s">
        <v>15</v>
      </c>
    </row>
    <row r="161" spans="1:23" x14ac:dyDescent="0.35">
      <c r="A161" s="1">
        <v>66</v>
      </c>
      <c r="B161" s="1" t="str">
        <f t="shared" si="2"/>
        <v>61-70</v>
      </c>
      <c r="C161" s="1">
        <v>0</v>
      </c>
      <c r="D161" s="1" t="str">
        <f>IF(Table2[[#This Row],[Sex]]=1,"Male", "Female")</f>
        <v>Female</v>
      </c>
      <c r="E161" s="1">
        <v>4</v>
      </c>
      <c r="F161" s="1" t="str">
        <f>IF(Table2[[#This Row],[Chest pain level]]=1, "Typical Angina", IF(Table2[[#This Row],[Chest pain level]]=2, "Atypical Angina", IF(Table2[[#This Row],[Chest pain level]]=3, "Non Anginal Pain", IF(Table2[[#This Row],[Chest pain level]]=4, "Asymptomatic"))))</f>
        <v>Asymptomatic</v>
      </c>
      <c r="G161" s="1">
        <v>178</v>
      </c>
      <c r="H161" s="1" t="str">
        <f>IF(Table2[[#This Row],[BP]]&lt;=120, "Normal",  IF(Table2[[#This Row],[BP]]&lt;=130, "Slightly Elevated", IF(Table2[[#This Row],[BP]]&lt;=140, "High", "Very High")))</f>
        <v>Very High</v>
      </c>
      <c r="I161" s="1">
        <v>228</v>
      </c>
      <c r="J161" s="1" t="str">
        <f>IF(Table2[[#This Row],[Cholesterol]]&gt;=240, "High", "Normal")</f>
        <v>Normal</v>
      </c>
      <c r="K161" s="1">
        <v>1</v>
      </c>
      <c r="L161" s="1" t="str">
        <f>IF(Table2[[#This Row],[FBS over 120]]=0, "Normal", "High")</f>
        <v>High</v>
      </c>
      <c r="M161" s="1">
        <v>0</v>
      </c>
      <c r="N161" s="1" t="str">
        <f>IF(Table2[[#This Row],[EKG results]]=0, "Normal", "Abnormal")</f>
        <v>Normal</v>
      </c>
      <c r="O161" s="1">
        <v>165</v>
      </c>
      <c r="P161" s="1">
        <v>1</v>
      </c>
      <c r="Q161" s="1" t="str">
        <f>IF(Table2[[#This Row],[Exercise angina]]=0, "Normal", "Abnormal")</f>
        <v>Abnormal</v>
      </c>
      <c r="R161" s="1">
        <v>1</v>
      </c>
      <c r="S161" s="1">
        <v>2</v>
      </c>
      <c r="T161" s="1">
        <v>2</v>
      </c>
      <c r="U161" s="1">
        <v>7</v>
      </c>
      <c r="V161"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61" s="1" t="s">
        <v>14</v>
      </c>
    </row>
    <row r="162" spans="1:23" x14ac:dyDescent="0.35">
      <c r="A162" s="1">
        <v>38</v>
      </c>
      <c r="B162" s="1" t="str">
        <f t="shared" si="2"/>
        <v>31-40</v>
      </c>
      <c r="C162" s="1">
        <v>1</v>
      </c>
      <c r="D162" s="1" t="str">
        <f>IF(Table2[[#This Row],[Sex]]=1,"Male", "Female")</f>
        <v>Male</v>
      </c>
      <c r="E162" s="1">
        <v>1</v>
      </c>
      <c r="F162" s="1" t="str">
        <f>IF(Table2[[#This Row],[Chest pain level]]=1, "Typical Angina", IF(Table2[[#This Row],[Chest pain level]]=2, "Atypical Angina", IF(Table2[[#This Row],[Chest pain level]]=3, "Non Anginal Pain", IF(Table2[[#This Row],[Chest pain level]]=4, "Asymptomatic"))))</f>
        <v>Typical Angina</v>
      </c>
      <c r="G162" s="1">
        <v>120</v>
      </c>
      <c r="H162" s="1" t="str">
        <f>IF(Table2[[#This Row],[BP]]&lt;=120, "Normal",  IF(Table2[[#This Row],[BP]]&lt;=130, "Slightly Elevated", IF(Table2[[#This Row],[BP]]&lt;=140, "High", "Very High")))</f>
        <v>Normal</v>
      </c>
      <c r="I162" s="1">
        <v>231</v>
      </c>
      <c r="J162" s="1" t="str">
        <f>IF(Table2[[#This Row],[Cholesterol]]&gt;=240, "High", "Normal")</f>
        <v>Normal</v>
      </c>
      <c r="K162" s="1">
        <v>0</v>
      </c>
      <c r="L162" s="1" t="str">
        <f>IF(Table2[[#This Row],[FBS over 120]]=0, "Normal", "High")</f>
        <v>Normal</v>
      </c>
      <c r="M162" s="1">
        <v>0</v>
      </c>
      <c r="N162" s="1" t="str">
        <f>IF(Table2[[#This Row],[EKG results]]=0, "Normal", "Abnormal")</f>
        <v>Normal</v>
      </c>
      <c r="O162" s="1">
        <v>182</v>
      </c>
      <c r="P162" s="1">
        <v>1</v>
      </c>
      <c r="Q162" s="1" t="str">
        <f>IF(Table2[[#This Row],[Exercise angina]]=0, "Normal", "Abnormal")</f>
        <v>Abnormal</v>
      </c>
      <c r="R162" s="1">
        <v>3.8</v>
      </c>
      <c r="S162" s="1">
        <v>2</v>
      </c>
      <c r="T162" s="1">
        <v>0</v>
      </c>
      <c r="U162" s="1">
        <v>7</v>
      </c>
      <c r="V162"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62" s="1" t="s">
        <v>14</v>
      </c>
    </row>
    <row r="163" spans="1:23" x14ac:dyDescent="0.35">
      <c r="A163" s="1">
        <v>62</v>
      </c>
      <c r="B163" s="1" t="str">
        <f t="shared" si="2"/>
        <v>61-70</v>
      </c>
      <c r="C163" s="1">
        <v>0</v>
      </c>
      <c r="D163" s="1" t="str">
        <f>IF(Table2[[#This Row],[Sex]]=1,"Male", "Female")</f>
        <v>Female</v>
      </c>
      <c r="E163" s="1">
        <v>4</v>
      </c>
      <c r="F163" s="1" t="str">
        <f>IF(Table2[[#This Row],[Chest pain level]]=1, "Typical Angina", IF(Table2[[#This Row],[Chest pain level]]=2, "Atypical Angina", IF(Table2[[#This Row],[Chest pain level]]=3, "Non Anginal Pain", IF(Table2[[#This Row],[Chest pain level]]=4, "Asymptomatic"))))</f>
        <v>Asymptomatic</v>
      </c>
      <c r="G163" s="1">
        <v>150</v>
      </c>
      <c r="H163" s="1" t="str">
        <f>IF(Table2[[#This Row],[BP]]&lt;=120, "Normal",  IF(Table2[[#This Row],[BP]]&lt;=130, "Slightly Elevated", IF(Table2[[#This Row],[BP]]&lt;=140, "High", "Very High")))</f>
        <v>Very High</v>
      </c>
      <c r="I163" s="1">
        <v>244</v>
      </c>
      <c r="J163" s="1" t="str">
        <f>IF(Table2[[#This Row],[Cholesterol]]&gt;=240, "High", "Normal")</f>
        <v>High</v>
      </c>
      <c r="K163" s="1">
        <v>0</v>
      </c>
      <c r="L163" s="1" t="str">
        <f>IF(Table2[[#This Row],[FBS over 120]]=0, "Normal", "High")</f>
        <v>Normal</v>
      </c>
      <c r="M163" s="1">
        <v>0</v>
      </c>
      <c r="N163" s="1" t="str">
        <f>IF(Table2[[#This Row],[EKG results]]=0, "Normal", "Abnormal")</f>
        <v>Normal</v>
      </c>
      <c r="O163" s="1">
        <v>154</v>
      </c>
      <c r="P163" s="1">
        <v>1</v>
      </c>
      <c r="Q163" s="1" t="str">
        <f>IF(Table2[[#This Row],[Exercise angina]]=0, "Normal", "Abnormal")</f>
        <v>Abnormal</v>
      </c>
      <c r="R163" s="1">
        <v>1.4</v>
      </c>
      <c r="S163" s="1">
        <v>2</v>
      </c>
      <c r="T163" s="1">
        <v>0</v>
      </c>
      <c r="U163" s="1">
        <v>3</v>
      </c>
      <c r="V163"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63" s="1" t="s">
        <v>14</v>
      </c>
    </row>
    <row r="164" spans="1:23" x14ac:dyDescent="0.35">
      <c r="A164" s="1">
        <v>55</v>
      </c>
      <c r="B164" s="1" t="str">
        <f t="shared" si="2"/>
        <v>51-60</v>
      </c>
      <c r="C164" s="1">
        <v>1</v>
      </c>
      <c r="D164" s="1" t="str">
        <f>IF(Table2[[#This Row],[Sex]]=1,"Male", "Female")</f>
        <v>Male</v>
      </c>
      <c r="E164" s="1">
        <v>2</v>
      </c>
      <c r="F164" s="1" t="str">
        <f>IF(Table2[[#This Row],[Chest pain level]]=1, "Typical Angina", IF(Table2[[#This Row],[Chest pain level]]=2, "Atypical Angina", IF(Table2[[#This Row],[Chest pain level]]=3, "Non Anginal Pain", IF(Table2[[#This Row],[Chest pain level]]=4, "Asymptomatic"))))</f>
        <v>Atypical Angina</v>
      </c>
      <c r="G164" s="1">
        <v>130</v>
      </c>
      <c r="H164" s="1" t="str">
        <f>IF(Table2[[#This Row],[BP]]&lt;=120, "Normal",  IF(Table2[[#This Row],[BP]]&lt;=130, "Slightly Elevated", IF(Table2[[#This Row],[BP]]&lt;=140, "High", "Very High")))</f>
        <v>Slightly Elevated</v>
      </c>
      <c r="I164" s="1">
        <v>262</v>
      </c>
      <c r="J164" s="1" t="str">
        <f>IF(Table2[[#This Row],[Cholesterol]]&gt;=240, "High", "Normal")</f>
        <v>High</v>
      </c>
      <c r="K164" s="1">
        <v>0</v>
      </c>
      <c r="L164" s="1" t="str">
        <f>IF(Table2[[#This Row],[FBS over 120]]=0, "Normal", "High")</f>
        <v>Normal</v>
      </c>
      <c r="M164" s="1">
        <v>0</v>
      </c>
      <c r="N164" s="1" t="str">
        <f>IF(Table2[[#This Row],[EKG results]]=0, "Normal", "Abnormal")</f>
        <v>Normal</v>
      </c>
      <c r="O164" s="1">
        <v>155</v>
      </c>
      <c r="P164" s="1">
        <v>0</v>
      </c>
      <c r="Q164" s="1" t="str">
        <f>IF(Table2[[#This Row],[Exercise angina]]=0, "Normal", "Abnormal")</f>
        <v>Normal</v>
      </c>
      <c r="R164" s="1">
        <v>0</v>
      </c>
      <c r="S164" s="1">
        <v>1</v>
      </c>
      <c r="T164" s="1">
        <v>0</v>
      </c>
      <c r="U164" s="1">
        <v>3</v>
      </c>
      <c r="V164"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64" s="1" t="s">
        <v>15</v>
      </c>
    </row>
    <row r="165" spans="1:23" x14ac:dyDescent="0.35">
      <c r="A165" s="1">
        <v>58</v>
      </c>
      <c r="B165" s="1" t="str">
        <f t="shared" si="2"/>
        <v>51-60</v>
      </c>
      <c r="C165" s="1">
        <v>1</v>
      </c>
      <c r="D165" s="1" t="str">
        <f>IF(Table2[[#This Row],[Sex]]=1,"Male", "Female")</f>
        <v>Male</v>
      </c>
      <c r="E165" s="1">
        <v>4</v>
      </c>
      <c r="F165" s="1" t="str">
        <f>IF(Table2[[#This Row],[Chest pain level]]=1, "Typical Angina", IF(Table2[[#This Row],[Chest pain level]]=2, "Atypical Angina", IF(Table2[[#This Row],[Chest pain level]]=3, "Non Anginal Pain", IF(Table2[[#This Row],[Chest pain level]]=4, "Asymptomatic"))))</f>
        <v>Asymptomatic</v>
      </c>
      <c r="G165" s="1">
        <v>128</v>
      </c>
      <c r="H165" s="1" t="str">
        <f>IF(Table2[[#This Row],[BP]]&lt;=120, "Normal",  IF(Table2[[#This Row],[BP]]&lt;=130, "Slightly Elevated", IF(Table2[[#This Row],[BP]]&lt;=140, "High", "Very High")))</f>
        <v>Slightly Elevated</v>
      </c>
      <c r="I165" s="1">
        <v>259</v>
      </c>
      <c r="J165" s="1" t="str">
        <f>IF(Table2[[#This Row],[Cholesterol]]&gt;=240, "High", "Normal")</f>
        <v>High</v>
      </c>
      <c r="K165" s="1">
        <v>0</v>
      </c>
      <c r="L165" s="1" t="str">
        <f>IF(Table2[[#This Row],[FBS over 120]]=0, "Normal", "High")</f>
        <v>Normal</v>
      </c>
      <c r="M165" s="1">
        <v>2</v>
      </c>
      <c r="N165" s="1" t="str">
        <f>IF(Table2[[#This Row],[EKG results]]=0, "Normal", "Abnormal")</f>
        <v>Abnormal</v>
      </c>
      <c r="O165" s="1">
        <v>130</v>
      </c>
      <c r="P165" s="1">
        <v>1</v>
      </c>
      <c r="Q165" s="1" t="str">
        <f>IF(Table2[[#This Row],[Exercise angina]]=0, "Normal", "Abnormal")</f>
        <v>Abnormal</v>
      </c>
      <c r="R165" s="1">
        <v>3</v>
      </c>
      <c r="S165" s="1">
        <v>2</v>
      </c>
      <c r="T165" s="1">
        <v>2</v>
      </c>
      <c r="U165" s="1">
        <v>7</v>
      </c>
      <c r="V165"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65" s="1" t="s">
        <v>14</v>
      </c>
    </row>
    <row r="166" spans="1:23" x14ac:dyDescent="0.35">
      <c r="A166" s="1">
        <v>43</v>
      </c>
      <c r="B166" s="1" t="str">
        <f t="shared" si="2"/>
        <v>41-50</v>
      </c>
      <c r="C166" s="1">
        <v>1</v>
      </c>
      <c r="D166" s="1" t="str">
        <f>IF(Table2[[#This Row],[Sex]]=1,"Male", "Female")</f>
        <v>Male</v>
      </c>
      <c r="E166" s="1">
        <v>4</v>
      </c>
      <c r="F166" s="1" t="str">
        <f>IF(Table2[[#This Row],[Chest pain level]]=1, "Typical Angina", IF(Table2[[#This Row],[Chest pain level]]=2, "Atypical Angina", IF(Table2[[#This Row],[Chest pain level]]=3, "Non Anginal Pain", IF(Table2[[#This Row],[Chest pain level]]=4, "Asymptomatic"))))</f>
        <v>Asymptomatic</v>
      </c>
      <c r="G166" s="1">
        <v>110</v>
      </c>
      <c r="H166" s="1" t="str">
        <f>IF(Table2[[#This Row],[BP]]&lt;=120, "Normal",  IF(Table2[[#This Row],[BP]]&lt;=130, "Slightly Elevated", IF(Table2[[#This Row],[BP]]&lt;=140, "High", "Very High")))</f>
        <v>Normal</v>
      </c>
      <c r="I166" s="1">
        <v>211</v>
      </c>
      <c r="J166" s="1" t="str">
        <f>IF(Table2[[#This Row],[Cholesterol]]&gt;=240, "High", "Normal")</f>
        <v>Normal</v>
      </c>
      <c r="K166" s="1">
        <v>0</v>
      </c>
      <c r="L166" s="1" t="str">
        <f>IF(Table2[[#This Row],[FBS over 120]]=0, "Normal", "High")</f>
        <v>Normal</v>
      </c>
      <c r="M166" s="1">
        <v>0</v>
      </c>
      <c r="N166" s="1" t="str">
        <f>IF(Table2[[#This Row],[EKG results]]=0, "Normal", "Abnormal")</f>
        <v>Normal</v>
      </c>
      <c r="O166" s="1">
        <v>161</v>
      </c>
      <c r="P166" s="1">
        <v>0</v>
      </c>
      <c r="Q166" s="1" t="str">
        <f>IF(Table2[[#This Row],[Exercise angina]]=0, "Normal", "Abnormal")</f>
        <v>Normal</v>
      </c>
      <c r="R166" s="1">
        <v>0</v>
      </c>
      <c r="S166" s="1">
        <v>1</v>
      </c>
      <c r="T166" s="1">
        <v>0</v>
      </c>
      <c r="U166" s="1">
        <v>7</v>
      </c>
      <c r="V166"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66" s="1" t="s">
        <v>15</v>
      </c>
    </row>
    <row r="167" spans="1:23" x14ac:dyDescent="0.35">
      <c r="A167" s="1">
        <v>64</v>
      </c>
      <c r="B167" s="1" t="str">
        <f t="shared" si="2"/>
        <v>61-70</v>
      </c>
      <c r="C167" s="1">
        <v>0</v>
      </c>
      <c r="D167" s="1" t="str">
        <f>IF(Table2[[#This Row],[Sex]]=1,"Male", "Female")</f>
        <v>Female</v>
      </c>
      <c r="E167" s="1">
        <v>4</v>
      </c>
      <c r="F167" s="1" t="str">
        <f>IF(Table2[[#This Row],[Chest pain level]]=1, "Typical Angina", IF(Table2[[#This Row],[Chest pain level]]=2, "Atypical Angina", IF(Table2[[#This Row],[Chest pain level]]=3, "Non Anginal Pain", IF(Table2[[#This Row],[Chest pain level]]=4, "Asymptomatic"))))</f>
        <v>Asymptomatic</v>
      </c>
      <c r="G167" s="1">
        <v>180</v>
      </c>
      <c r="H167" s="1" t="str">
        <f>IF(Table2[[#This Row],[BP]]&lt;=120, "Normal",  IF(Table2[[#This Row],[BP]]&lt;=130, "Slightly Elevated", IF(Table2[[#This Row],[BP]]&lt;=140, "High", "Very High")))</f>
        <v>Very High</v>
      </c>
      <c r="I167" s="1">
        <v>325</v>
      </c>
      <c r="J167" s="1" t="str">
        <f>IF(Table2[[#This Row],[Cholesterol]]&gt;=240, "High", "Normal")</f>
        <v>High</v>
      </c>
      <c r="K167" s="1">
        <v>0</v>
      </c>
      <c r="L167" s="1" t="str">
        <f>IF(Table2[[#This Row],[FBS over 120]]=0, "Normal", "High")</f>
        <v>Normal</v>
      </c>
      <c r="M167" s="1">
        <v>0</v>
      </c>
      <c r="N167" s="1" t="str">
        <f>IF(Table2[[#This Row],[EKG results]]=0, "Normal", "Abnormal")</f>
        <v>Normal</v>
      </c>
      <c r="O167" s="1">
        <v>154</v>
      </c>
      <c r="P167" s="1">
        <v>1</v>
      </c>
      <c r="Q167" s="1" t="str">
        <f>IF(Table2[[#This Row],[Exercise angina]]=0, "Normal", "Abnormal")</f>
        <v>Abnormal</v>
      </c>
      <c r="R167" s="1">
        <v>0</v>
      </c>
      <c r="S167" s="1">
        <v>1</v>
      </c>
      <c r="T167" s="1">
        <v>0</v>
      </c>
      <c r="U167" s="1">
        <v>3</v>
      </c>
      <c r="V167"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67" s="1" t="s">
        <v>15</v>
      </c>
    </row>
    <row r="168" spans="1:23" x14ac:dyDescent="0.35">
      <c r="A168" s="1">
        <v>50</v>
      </c>
      <c r="B168" s="1" t="str">
        <f t="shared" si="2"/>
        <v>41-50</v>
      </c>
      <c r="C168" s="1">
        <v>0</v>
      </c>
      <c r="D168" s="1" t="str">
        <f>IF(Table2[[#This Row],[Sex]]=1,"Male", "Female")</f>
        <v>Female</v>
      </c>
      <c r="E168" s="1">
        <v>4</v>
      </c>
      <c r="F168" s="1" t="str">
        <f>IF(Table2[[#This Row],[Chest pain level]]=1, "Typical Angina", IF(Table2[[#This Row],[Chest pain level]]=2, "Atypical Angina", IF(Table2[[#This Row],[Chest pain level]]=3, "Non Anginal Pain", IF(Table2[[#This Row],[Chest pain level]]=4, "Asymptomatic"))))</f>
        <v>Asymptomatic</v>
      </c>
      <c r="G168" s="1">
        <v>110</v>
      </c>
      <c r="H168" s="1" t="str">
        <f>IF(Table2[[#This Row],[BP]]&lt;=120, "Normal",  IF(Table2[[#This Row],[BP]]&lt;=130, "Slightly Elevated", IF(Table2[[#This Row],[BP]]&lt;=140, "High", "Very High")))</f>
        <v>Normal</v>
      </c>
      <c r="I168" s="1">
        <v>254</v>
      </c>
      <c r="J168" s="1" t="str">
        <f>IF(Table2[[#This Row],[Cholesterol]]&gt;=240, "High", "Normal")</f>
        <v>High</v>
      </c>
      <c r="K168" s="1">
        <v>0</v>
      </c>
      <c r="L168" s="1" t="str">
        <f>IF(Table2[[#This Row],[FBS over 120]]=0, "Normal", "High")</f>
        <v>Normal</v>
      </c>
      <c r="M168" s="1">
        <v>2</v>
      </c>
      <c r="N168" s="1" t="str">
        <f>IF(Table2[[#This Row],[EKG results]]=0, "Normal", "Abnormal")</f>
        <v>Abnormal</v>
      </c>
      <c r="O168" s="1">
        <v>159</v>
      </c>
      <c r="P168" s="1">
        <v>0</v>
      </c>
      <c r="Q168" s="1" t="str">
        <f>IF(Table2[[#This Row],[Exercise angina]]=0, "Normal", "Abnormal")</f>
        <v>Normal</v>
      </c>
      <c r="R168" s="1">
        <v>0</v>
      </c>
      <c r="S168" s="1">
        <v>1</v>
      </c>
      <c r="T168" s="1">
        <v>0</v>
      </c>
      <c r="U168" s="1">
        <v>3</v>
      </c>
      <c r="V168"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68" s="1" t="s">
        <v>15</v>
      </c>
    </row>
    <row r="169" spans="1:23" x14ac:dyDescent="0.35">
      <c r="A169" s="1">
        <v>53</v>
      </c>
      <c r="B169" s="1" t="str">
        <f t="shared" si="2"/>
        <v>51-60</v>
      </c>
      <c r="C169" s="1">
        <v>1</v>
      </c>
      <c r="D169" s="1" t="str">
        <f>IF(Table2[[#This Row],[Sex]]=1,"Male", "Female")</f>
        <v>Male</v>
      </c>
      <c r="E169" s="1">
        <v>3</v>
      </c>
      <c r="F169" s="1" t="str">
        <f>IF(Table2[[#This Row],[Chest pain level]]=1, "Typical Angina", IF(Table2[[#This Row],[Chest pain level]]=2, "Atypical Angina", IF(Table2[[#This Row],[Chest pain level]]=3, "Non Anginal Pain", IF(Table2[[#This Row],[Chest pain level]]=4, "Asymptomatic"))))</f>
        <v>Non Anginal Pain</v>
      </c>
      <c r="G169" s="1">
        <v>130</v>
      </c>
      <c r="H169" s="1" t="str">
        <f>IF(Table2[[#This Row],[BP]]&lt;=120, "Normal",  IF(Table2[[#This Row],[BP]]&lt;=130, "Slightly Elevated", IF(Table2[[#This Row],[BP]]&lt;=140, "High", "Very High")))</f>
        <v>Slightly Elevated</v>
      </c>
      <c r="I169" s="1">
        <v>197</v>
      </c>
      <c r="J169" s="1" t="str">
        <f>IF(Table2[[#This Row],[Cholesterol]]&gt;=240, "High", "Normal")</f>
        <v>Normal</v>
      </c>
      <c r="K169" s="1">
        <v>1</v>
      </c>
      <c r="L169" s="1" t="str">
        <f>IF(Table2[[#This Row],[FBS over 120]]=0, "Normal", "High")</f>
        <v>High</v>
      </c>
      <c r="M169" s="1">
        <v>2</v>
      </c>
      <c r="N169" s="1" t="str">
        <f>IF(Table2[[#This Row],[EKG results]]=0, "Normal", "Abnormal")</f>
        <v>Abnormal</v>
      </c>
      <c r="O169" s="1">
        <v>152</v>
      </c>
      <c r="P169" s="1">
        <v>0</v>
      </c>
      <c r="Q169" s="1" t="str">
        <f>IF(Table2[[#This Row],[Exercise angina]]=0, "Normal", "Abnormal")</f>
        <v>Normal</v>
      </c>
      <c r="R169" s="1">
        <v>1.2</v>
      </c>
      <c r="S169" s="1">
        <v>3</v>
      </c>
      <c r="T169" s="1">
        <v>0</v>
      </c>
      <c r="U169" s="1">
        <v>3</v>
      </c>
      <c r="V169"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69" s="1" t="s">
        <v>15</v>
      </c>
    </row>
    <row r="170" spans="1:23" x14ac:dyDescent="0.35">
      <c r="A170" s="1">
        <v>45</v>
      </c>
      <c r="B170" s="1" t="str">
        <f t="shared" si="2"/>
        <v>41-50</v>
      </c>
      <c r="C170" s="1">
        <v>0</v>
      </c>
      <c r="D170" s="1" t="str">
        <f>IF(Table2[[#This Row],[Sex]]=1,"Male", "Female")</f>
        <v>Female</v>
      </c>
      <c r="E170" s="1">
        <v>4</v>
      </c>
      <c r="F170" s="1" t="str">
        <f>IF(Table2[[#This Row],[Chest pain level]]=1, "Typical Angina", IF(Table2[[#This Row],[Chest pain level]]=2, "Atypical Angina", IF(Table2[[#This Row],[Chest pain level]]=3, "Non Anginal Pain", IF(Table2[[#This Row],[Chest pain level]]=4, "Asymptomatic"))))</f>
        <v>Asymptomatic</v>
      </c>
      <c r="G170" s="1">
        <v>138</v>
      </c>
      <c r="H170" s="1" t="str">
        <f>IF(Table2[[#This Row],[BP]]&lt;=120, "Normal",  IF(Table2[[#This Row],[BP]]&lt;=130, "Slightly Elevated", IF(Table2[[#This Row],[BP]]&lt;=140, "High", "Very High")))</f>
        <v>High</v>
      </c>
      <c r="I170" s="1">
        <v>236</v>
      </c>
      <c r="J170" s="1" t="str">
        <f>IF(Table2[[#This Row],[Cholesterol]]&gt;=240, "High", "Normal")</f>
        <v>Normal</v>
      </c>
      <c r="K170" s="1">
        <v>0</v>
      </c>
      <c r="L170" s="1" t="str">
        <f>IF(Table2[[#This Row],[FBS over 120]]=0, "Normal", "High")</f>
        <v>Normal</v>
      </c>
      <c r="M170" s="1">
        <v>2</v>
      </c>
      <c r="N170" s="1" t="str">
        <f>IF(Table2[[#This Row],[EKG results]]=0, "Normal", "Abnormal")</f>
        <v>Abnormal</v>
      </c>
      <c r="O170" s="1">
        <v>152</v>
      </c>
      <c r="P170" s="1">
        <v>1</v>
      </c>
      <c r="Q170" s="1" t="str">
        <f>IF(Table2[[#This Row],[Exercise angina]]=0, "Normal", "Abnormal")</f>
        <v>Abnormal</v>
      </c>
      <c r="R170" s="1">
        <v>0.2</v>
      </c>
      <c r="S170" s="1">
        <v>2</v>
      </c>
      <c r="T170" s="1">
        <v>0</v>
      </c>
      <c r="U170" s="1">
        <v>3</v>
      </c>
      <c r="V170"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70" s="1" t="s">
        <v>15</v>
      </c>
    </row>
    <row r="171" spans="1:23" x14ac:dyDescent="0.35">
      <c r="A171" s="1">
        <v>65</v>
      </c>
      <c r="B171" s="1" t="str">
        <f t="shared" si="2"/>
        <v>61-70</v>
      </c>
      <c r="C171" s="1">
        <v>1</v>
      </c>
      <c r="D171" s="1" t="str">
        <f>IF(Table2[[#This Row],[Sex]]=1,"Male", "Female")</f>
        <v>Male</v>
      </c>
      <c r="E171" s="1">
        <v>1</v>
      </c>
      <c r="F171" s="1" t="str">
        <f>IF(Table2[[#This Row],[Chest pain level]]=1, "Typical Angina", IF(Table2[[#This Row],[Chest pain level]]=2, "Atypical Angina", IF(Table2[[#This Row],[Chest pain level]]=3, "Non Anginal Pain", IF(Table2[[#This Row],[Chest pain level]]=4, "Asymptomatic"))))</f>
        <v>Typical Angina</v>
      </c>
      <c r="G171" s="1">
        <v>138</v>
      </c>
      <c r="H171" s="1" t="str">
        <f>IF(Table2[[#This Row],[BP]]&lt;=120, "Normal",  IF(Table2[[#This Row],[BP]]&lt;=130, "Slightly Elevated", IF(Table2[[#This Row],[BP]]&lt;=140, "High", "Very High")))</f>
        <v>High</v>
      </c>
      <c r="I171" s="1">
        <v>282</v>
      </c>
      <c r="J171" s="1" t="str">
        <f>IF(Table2[[#This Row],[Cholesterol]]&gt;=240, "High", "Normal")</f>
        <v>High</v>
      </c>
      <c r="K171" s="1">
        <v>1</v>
      </c>
      <c r="L171" s="1" t="str">
        <f>IF(Table2[[#This Row],[FBS over 120]]=0, "Normal", "High")</f>
        <v>High</v>
      </c>
      <c r="M171" s="1">
        <v>2</v>
      </c>
      <c r="N171" s="1" t="str">
        <f>IF(Table2[[#This Row],[EKG results]]=0, "Normal", "Abnormal")</f>
        <v>Abnormal</v>
      </c>
      <c r="O171" s="1">
        <v>174</v>
      </c>
      <c r="P171" s="1">
        <v>0</v>
      </c>
      <c r="Q171" s="1" t="str">
        <f>IF(Table2[[#This Row],[Exercise angina]]=0, "Normal", "Abnormal")</f>
        <v>Normal</v>
      </c>
      <c r="R171" s="1">
        <v>1.4</v>
      </c>
      <c r="S171" s="1">
        <v>2</v>
      </c>
      <c r="T171" s="1">
        <v>1</v>
      </c>
      <c r="U171" s="1">
        <v>3</v>
      </c>
      <c r="V171"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71" s="1" t="s">
        <v>14</v>
      </c>
    </row>
    <row r="172" spans="1:23" x14ac:dyDescent="0.35">
      <c r="A172" s="1">
        <v>69</v>
      </c>
      <c r="B172" s="1" t="str">
        <f t="shared" si="2"/>
        <v>61-70</v>
      </c>
      <c r="C172" s="1">
        <v>1</v>
      </c>
      <c r="D172" s="1" t="str">
        <f>IF(Table2[[#This Row],[Sex]]=1,"Male", "Female")</f>
        <v>Male</v>
      </c>
      <c r="E172" s="1">
        <v>1</v>
      </c>
      <c r="F172" s="1" t="str">
        <f>IF(Table2[[#This Row],[Chest pain level]]=1, "Typical Angina", IF(Table2[[#This Row],[Chest pain level]]=2, "Atypical Angina", IF(Table2[[#This Row],[Chest pain level]]=3, "Non Anginal Pain", IF(Table2[[#This Row],[Chest pain level]]=4, "Asymptomatic"))))</f>
        <v>Typical Angina</v>
      </c>
      <c r="G172" s="1">
        <v>160</v>
      </c>
      <c r="H172" s="1" t="str">
        <f>IF(Table2[[#This Row],[BP]]&lt;=120, "Normal",  IF(Table2[[#This Row],[BP]]&lt;=130, "Slightly Elevated", IF(Table2[[#This Row],[BP]]&lt;=140, "High", "Very High")))</f>
        <v>Very High</v>
      </c>
      <c r="I172" s="1">
        <v>234</v>
      </c>
      <c r="J172" s="1" t="str">
        <f>IF(Table2[[#This Row],[Cholesterol]]&gt;=240, "High", "Normal")</f>
        <v>Normal</v>
      </c>
      <c r="K172" s="1">
        <v>1</v>
      </c>
      <c r="L172" s="1" t="str">
        <f>IF(Table2[[#This Row],[FBS over 120]]=0, "Normal", "High")</f>
        <v>High</v>
      </c>
      <c r="M172" s="1">
        <v>2</v>
      </c>
      <c r="N172" s="1" t="str">
        <f>IF(Table2[[#This Row],[EKG results]]=0, "Normal", "Abnormal")</f>
        <v>Abnormal</v>
      </c>
      <c r="O172" s="1">
        <v>131</v>
      </c>
      <c r="P172" s="1">
        <v>0</v>
      </c>
      <c r="Q172" s="1" t="str">
        <f>IF(Table2[[#This Row],[Exercise angina]]=0, "Normal", "Abnormal")</f>
        <v>Normal</v>
      </c>
      <c r="R172" s="1">
        <v>0.1</v>
      </c>
      <c r="S172" s="1">
        <v>2</v>
      </c>
      <c r="T172" s="1">
        <v>1</v>
      </c>
      <c r="U172" s="1">
        <v>3</v>
      </c>
      <c r="V172"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72" s="1" t="s">
        <v>15</v>
      </c>
    </row>
    <row r="173" spans="1:23" x14ac:dyDescent="0.35">
      <c r="A173" s="1">
        <v>69</v>
      </c>
      <c r="B173" s="1" t="str">
        <f t="shared" si="2"/>
        <v>61-70</v>
      </c>
      <c r="C173" s="1">
        <v>1</v>
      </c>
      <c r="D173" s="1" t="str">
        <f>IF(Table2[[#This Row],[Sex]]=1,"Male", "Female")</f>
        <v>Male</v>
      </c>
      <c r="E173" s="1">
        <v>3</v>
      </c>
      <c r="F173" s="1" t="str">
        <f>IF(Table2[[#This Row],[Chest pain level]]=1, "Typical Angina", IF(Table2[[#This Row],[Chest pain level]]=2, "Atypical Angina", IF(Table2[[#This Row],[Chest pain level]]=3, "Non Anginal Pain", IF(Table2[[#This Row],[Chest pain level]]=4, "Asymptomatic"))))</f>
        <v>Non Anginal Pain</v>
      </c>
      <c r="G173" s="1">
        <v>140</v>
      </c>
      <c r="H173" s="1" t="str">
        <f>IF(Table2[[#This Row],[BP]]&lt;=120, "Normal",  IF(Table2[[#This Row],[BP]]&lt;=130, "Slightly Elevated", IF(Table2[[#This Row],[BP]]&lt;=140, "High", "Very High")))</f>
        <v>High</v>
      </c>
      <c r="I173" s="1">
        <v>254</v>
      </c>
      <c r="J173" s="1" t="str">
        <f>IF(Table2[[#This Row],[Cholesterol]]&gt;=240, "High", "Normal")</f>
        <v>High</v>
      </c>
      <c r="K173" s="1">
        <v>0</v>
      </c>
      <c r="L173" s="1" t="str">
        <f>IF(Table2[[#This Row],[FBS over 120]]=0, "Normal", "High")</f>
        <v>Normal</v>
      </c>
      <c r="M173" s="1">
        <v>2</v>
      </c>
      <c r="N173" s="1" t="str">
        <f>IF(Table2[[#This Row],[EKG results]]=0, "Normal", "Abnormal")</f>
        <v>Abnormal</v>
      </c>
      <c r="O173" s="1">
        <v>146</v>
      </c>
      <c r="P173" s="1">
        <v>0</v>
      </c>
      <c r="Q173" s="1" t="str">
        <f>IF(Table2[[#This Row],[Exercise angina]]=0, "Normal", "Abnormal")</f>
        <v>Normal</v>
      </c>
      <c r="R173" s="1">
        <v>2</v>
      </c>
      <c r="S173" s="1">
        <v>2</v>
      </c>
      <c r="T173" s="1">
        <v>3</v>
      </c>
      <c r="U173" s="1">
        <v>7</v>
      </c>
      <c r="V173"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73" s="1" t="s">
        <v>14</v>
      </c>
    </row>
    <row r="174" spans="1:23" x14ac:dyDescent="0.35">
      <c r="A174" s="1">
        <v>67</v>
      </c>
      <c r="B174" s="1" t="str">
        <f t="shared" si="2"/>
        <v>61-70</v>
      </c>
      <c r="C174" s="1">
        <v>1</v>
      </c>
      <c r="D174" s="1" t="str">
        <f>IF(Table2[[#This Row],[Sex]]=1,"Male", "Female")</f>
        <v>Male</v>
      </c>
      <c r="E174" s="1">
        <v>4</v>
      </c>
      <c r="F174" s="1" t="str">
        <f>IF(Table2[[#This Row],[Chest pain level]]=1, "Typical Angina", IF(Table2[[#This Row],[Chest pain level]]=2, "Atypical Angina", IF(Table2[[#This Row],[Chest pain level]]=3, "Non Anginal Pain", IF(Table2[[#This Row],[Chest pain level]]=4, "Asymptomatic"))))</f>
        <v>Asymptomatic</v>
      </c>
      <c r="G174" s="1">
        <v>100</v>
      </c>
      <c r="H174" s="1" t="str">
        <f>IF(Table2[[#This Row],[BP]]&lt;=120, "Normal",  IF(Table2[[#This Row],[BP]]&lt;=130, "Slightly Elevated", IF(Table2[[#This Row],[BP]]&lt;=140, "High", "Very High")))</f>
        <v>Normal</v>
      </c>
      <c r="I174" s="1">
        <v>299</v>
      </c>
      <c r="J174" s="1" t="str">
        <f>IF(Table2[[#This Row],[Cholesterol]]&gt;=240, "High", "Normal")</f>
        <v>High</v>
      </c>
      <c r="K174" s="1">
        <v>0</v>
      </c>
      <c r="L174" s="1" t="str">
        <f>IF(Table2[[#This Row],[FBS over 120]]=0, "Normal", "High")</f>
        <v>Normal</v>
      </c>
      <c r="M174" s="1">
        <v>2</v>
      </c>
      <c r="N174" s="1" t="str">
        <f>IF(Table2[[#This Row],[EKG results]]=0, "Normal", "Abnormal")</f>
        <v>Abnormal</v>
      </c>
      <c r="O174" s="1">
        <v>125</v>
      </c>
      <c r="P174" s="1">
        <v>1</v>
      </c>
      <c r="Q174" s="1" t="str">
        <f>IF(Table2[[#This Row],[Exercise angina]]=0, "Normal", "Abnormal")</f>
        <v>Abnormal</v>
      </c>
      <c r="R174" s="1">
        <v>0.9</v>
      </c>
      <c r="S174" s="1">
        <v>2</v>
      </c>
      <c r="T174" s="1">
        <v>2</v>
      </c>
      <c r="U174" s="1">
        <v>3</v>
      </c>
      <c r="V174"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74" s="1" t="s">
        <v>14</v>
      </c>
    </row>
    <row r="175" spans="1:23" x14ac:dyDescent="0.35">
      <c r="A175" s="1">
        <v>68</v>
      </c>
      <c r="B175" s="1" t="str">
        <f t="shared" si="2"/>
        <v>61-70</v>
      </c>
      <c r="C175" s="1">
        <v>0</v>
      </c>
      <c r="D175" s="1" t="str">
        <f>IF(Table2[[#This Row],[Sex]]=1,"Male", "Female")</f>
        <v>Female</v>
      </c>
      <c r="E175" s="1">
        <v>3</v>
      </c>
      <c r="F175" s="1" t="str">
        <f>IF(Table2[[#This Row],[Chest pain level]]=1, "Typical Angina", IF(Table2[[#This Row],[Chest pain level]]=2, "Atypical Angina", IF(Table2[[#This Row],[Chest pain level]]=3, "Non Anginal Pain", IF(Table2[[#This Row],[Chest pain level]]=4, "Asymptomatic"))))</f>
        <v>Non Anginal Pain</v>
      </c>
      <c r="G175" s="1">
        <v>120</v>
      </c>
      <c r="H175" s="1" t="str">
        <f>IF(Table2[[#This Row],[BP]]&lt;=120, "Normal",  IF(Table2[[#This Row],[BP]]&lt;=130, "Slightly Elevated", IF(Table2[[#This Row],[BP]]&lt;=140, "High", "Very High")))</f>
        <v>Normal</v>
      </c>
      <c r="I175" s="1">
        <v>211</v>
      </c>
      <c r="J175" s="1" t="str">
        <f>IF(Table2[[#This Row],[Cholesterol]]&gt;=240, "High", "Normal")</f>
        <v>Normal</v>
      </c>
      <c r="K175" s="1">
        <v>0</v>
      </c>
      <c r="L175" s="1" t="str">
        <f>IF(Table2[[#This Row],[FBS over 120]]=0, "Normal", "High")</f>
        <v>Normal</v>
      </c>
      <c r="M175" s="1">
        <v>2</v>
      </c>
      <c r="N175" s="1" t="str">
        <f>IF(Table2[[#This Row],[EKG results]]=0, "Normal", "Abnormal")</f>
        <v>Abnormal</v>
      </c>
      <c r="O175" s="1">
        <v>115</v>
      </c>
      <c r="P175" s="1">
        <v>0</v>
      </c>
      <c r="Q175" s="1" t="str">
        <f>IF(Table2[[#This Row],[Exercise angina]]=0, "Normal", "Abnormal")</f>
        <v>Normal</v>
      </c>
      <c r="R175" s="1">
        <v>1.5</v>
      </c>
      <c r="S175" s="1">
        <v>2</v>
      </c>
      <c r="T175" s="1">
        <v>0</v>
      </c>
      <c r="U175" s="1">
        <v>3</v>
      </c>
      <c r="V175"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75" s="1" t="s">
        <v>15</v>
      </c>
    </row>
    <row r="176" spans="1:23" x14ac:dyDescent="0.35">
      <c r="A176" s="1">
        <v>34</v>
      </c>
      <c r="B176" s="1" t="str">
        <f t="shared" si="2"/>
        <v>31-40</v>
      </c>
      <c r="C176" s="1">
        <v>1</v>
      </c>
      <c r="D176" s="1" t="str">
        <f>IF(Table2[[#This Row],[Sex]]=1,"Male", "Female")</f>
        <v>Male</v>
      </c>
      <c r="E176" s="1">
        <v>1</v>
      </c>
      <c r="F176" s="1" t="str">
        <f>IF(Table2[[#This Row],[Chest pain level]]=1, "Typical Angina", IF(Table2[[#This Row],[Chest pain level]]=2, "Atypical Angina", IF(Table2[[#This Row],[Chest pain level]]=3, "Non Anginal Pain", IF(Table2[[#This Row],[Chest pain level]]=4, "Asymptomatic"))))</f>
        <v>Typical Angina</v>
      </c>
      <c r="G176" s="1">
        <v>118</v>
      </c>
      <c r="H176" s="1" t="str">
        <f>IF(Table2[[#This Row],[BP]]&lt;=120, "Normal",  IF(Table2[[#This Row],[BP]]&lt;=130, "Slightly Elevated", IF(Table2[[#This Row],[BP]]&lt;=140, "High", "Very High")))</f>
        <v>Normal</v>
      </c>
      <c r="I176" s="1">
        <v>182</v>
      </c>
      <c r="J176" s="1" t="str">
        <f>IF(Table2[[#This Row],[Cholesterol]]&gt;=240, "High", "Normal")</f>
        <v>Normal</v>
      </c>
      <c r="K176" s="1">
        <v>0</v>
      </c>
      <c r="L176" s="1" t="str">
        <f>IF(Table2[[#This Row],[FBS over 120]]=0, "Normal", "High")</f>
        <v>Normal</v>
      </c>
      <c r="M176" s="1">
        <v>2</v>
      </c>
      <c r="N176" s="1" t="str">
        <f>IF(Table2[[#This Row],[EKG results]]=0, "Normal", "Abnormal")</f>
        <v>Abnormal</v>
      </c>
      <c r="O176" s="1">
        <v>174</v>
      </c>
      <c r="P176" s="1">
        <v>0</v>
      </c>
      <c r="Q176" s="1" t="str">
        <f>IF(Table2[[#This Row],[Exercise angina]]=0, "Normal", "Abnormal")</f>
        <v>Normal</v>
      </c>
      <c r="R176" s="1">
        <v>0</v>
      </c>
      <c r="S176" s="1">
        <v>1</v>
      </c>
      <c r="T176" s="1">
        <v>0</v>
      </c>
      <c r="U176" s="1">
        <v>3</v>
      </c>
      <c r="V176"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76" s="1" t="s">
        <v>15</v>
      </c>
    </row>
    <row r="177" spans="1:23" x14ac:dyDescent="0.35">
      <c r="A177" s="1">
        <v>62</v>
      </c>
      <c r="B177" s="1" t="str">
        <f t="shared" si="2"/>
        <v>61-70</v>
      </c>
      <c r="C177" s="1">
        <v>0</v>
      </c>
      <c r="D177" s="1" t="str">
        <f>IF(Table2[[#This Row],[Sex]]=1,"Male", "Female")</f>
        <v>Female</v>
      </c>
      <c r="E177" s="1">
        <v>4</v>
      </c>
      <c r="F177" s="1" t="str">
        <f>IF(Table2[[#This Row],[Chest pain level]]=1, "Typical Angina", IF(Table2[[#This Row],[Chest pain level]]=2, "Atypical Angina", IF(Table2[[#This Row],[Chest pain level]]=3, "Non Anginal Pain", IF(Table2[[#This Row],[Chest pain level]]=4, "Asymptomatic"))))</f>
        <v>Asymptomatic</v>
      </c>
      <c r="G177" s="1">
        <v>138</v>
      </c>
      <c r="H177" s="1" t="str">
        <f>IF(Table2[[#This Row],[BP]]&lt;=120, "Normal",  IF(Table2[[#This Row],[BP]]&lt;=130, "Slightly Elevated", IF(Table2[[#This Row],[BP]]&lt;=140, "High", "Very High")))</f>
        <v>High</v>
      </c>
      <c r="I177" s="1">
        <v>294</v>
      </c>
      <c r="J177" s="1" t="str">
        <f>IF(Table2[[#This Row],[Cholesterol]]&gt;=240, "High", "Normal")</f>
        <v>High</v>
      </c>
      <c r="K177" s="1">
        <v>1</v>
      </c>
      <c r="L177" s="1" t="str">
        <f>IF(Table2[[#This Row],[FBS over 120]]=0, "Normal", "High")</f>
        <v>High</v>
      </c>
      <c r="M177" s="1">
        <v>0</v>
      </c>
      <c r="N177" s="1" t="str">
        <f>IF(Table2[[#This Row],[EKG results]]=0, "Normal", "Abnormal")</f>
        <v>Normal</v>
      </c>
      <c r="O177" s="1">
        <v>106</v>
      </c>
      <c r="P177" s="1">
        <v>0</v>
      </c>
      <c r="Q177" s="1" t="str">
        <f>IF(Table2[[#This Row],[Exercise angina]]=0, "Normal", "Abnormal")</f>
        <v>Normal</v>
      </c>
      <c r="R177" s="1">
        <v>1.9</v>
      </c>
      <c r="S177" s="1">
        <v>2</v>
      </c>
      <c r="T177" s="1">
        <v>3</v>
      </c>
      <c r="U177" s="1">
        <v>3</v>
      </c>
      <c r="V177"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77" s="1" t="s">
        <v>14</v>
      </c>
    </row>
    <row r="178" spans="1:23" x14ac:dyDescent="0.35">
      <c r="A178" s="1">
        <v>51</v>
      </c>
      <c r="B178" s="1" t="str">
        <f t="shared" si="2"/>
        <v>51-60</v>
      </c>
      <c r="C178" s="1">
        <v>1</v>
      </c>
      <c r="D178" s="1" t="str">
        <f>IF(Table2[[#This Row],[Sex]]=1,"Male", "Female")</f>
        <v>Male</v>
      </c>
      <c r="E178" s="1">
        <v>4</v>
      </c>
      <c r="F178" s="1" t="str">
        <f>IF(Table2[[#This Row],[Chest pain level]]=1, "Typical Angina", IF(Table2[[#This Row],[Chest pain level]]=2, "Atypical Angina", IF(Table2[[#This Row],[Chest pain level]]=3, "Non Anginal Pain", IF(Table2[[#This Row],[Chest pain level]]=4, "Asymptomatic"))))</f>
        <v>Asymptomatic</v>
      </c>
      <c r="G178" s="1">
        <v>140</v>
      </c>
      <c r="H178" s="1" t="str">
        <f>IF(Table2[[#This Row],[BP]]&lt;=120, "Normal",  IF(Table2[[#This Row],[BP]]&lt;=130, "Slightly Elevated", IF(Table2[[#This Row],[BP]]&lt;=140, "High", "Very High")))</f>
        <v>High</v>
      </c>
      <c r="I178" s="1">
        <v>298</v>
      </c>
      <c r="J178" s="1" t="str">
        <f>IF(Table2[[#This Row],[Cholesterol]]&gt;=240, "High", "Normal")</f>
        <v>High</v>
      </c>
      <c r="K178" s="1">
        <v>0</v>
      </c>
      <c r="L178" s="1" t="str">
        <f>IF(Table2[[#This Row],[FBS over 120]]=0, "Normal", "High")</f>
        <v>Normal</v>
      </c>
      <c r="M178" s="1">
        <v>0</v>
      </c>
      <c r="N178" s="1" t="str">
        <f>IF(Table2[[#This Row],[EKG results]]=0, "Normal", "Abnormal")</f>
        <v>Normal</v>
      </c>
      <c r="O178" s="1">
        <v>122</v>
      </c>
      <c r="P178" s="1">
        <v>1</v>
      </c>
      <c r="Q178" s="1" t="str">
        <f>IF(Table2[[#This Row],[Exercise angina]]=0, "Normal", "Abnormal")</f>
        <v>Abnormal</v>
      </c>
      <c r="R178" s="1">
        <v>4.2</v>
      </c>
      <c r="S178" s="1">
        <v>2</v>
      </c>
      <c r="T178" s="1">
        <v>3</v>
      </c>
      <c r="U178" s="1">
        <v>7</v>
      </c>
      <c r="V178"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78" s="1" t="s">
        <v>14</v>
      </c>
    </row>
    <row r="179" spans="1:23" x14ac:dyDescent="0.35">
      <c r="A179" s="1">
        <v>46</v>
      </c>
      <c r="B179" s="1" t="str">
        <f t="shared" si="2"/>
        <v>41-50</v>
      </c>
      <c r="C179" s="1">
        <v>1</v>
      </c>
      <c r="D179" s="1" t="str">
        <f>IF(Table2[[#This Row],[Sex]]=1,"Male", "Female")</f>
        <v>Male</v>
      </c>
      <c r="E179" s="1">
        <v>3</v>
      </c>
      <c r="F179" s="1" t="str">
        <f>IF(Table2[[#This Row],[Chest pain level]]=1, "Typical Angina", IF(Table2[[#This Row],[Chest pain level]]=2, "Atypical Angina", IF(Table2[[#This Row],[Chest pain level]]=3, "Non Anginal Pain", IF(Table2[[#This Row],[Chest pain level]]=4, "Asymptomatic"))))</f>
        <v>Non Anginal Pain</v>
      </c>
      <c r="G179" s="1">
        <v>150</v>
      </c>
      <c r="H179" s="1" t="str">
        <f>IF(Table2[[#This Row],[BP]]&lt;=120, "Normal",  IF(Table2[[#This Row],[BP]]&lt;=130, "Slightly Elevated", IF(Table2[[#This Row],[BP]]&lt;=140, "High", "Very High")))</f>
        <v>Very High</v>
      </c>
      <c r="I179" s="1">
        <v>231</v>
      </c>
      <c r="J179" s="1" t="str">
        <f>IF(Table2[[#This Row],[Cholesterol]]&gt;=240, "High", "Normal")</f>
        <v>Normal</v>
      </c>
      <c r="K179" s="1">
        <v>0</v>
      </c>
      <c r="L179" s="1" t="str">
        <f>IF(Table2[[#This Row],[FBS over 120]]=0, "Normal", "High")</f>
        <v>Normal</v>
      </c>
      <c r="M179" s="1">
        <v>0</v>
      </c>
      <c r="N179" s="1" t="str">
        <f>IF(Table2[[#This Row],[EKG results]]=0, "Normal", "Abnormal")</f>
        <v>Normal</v>
      </c>
      <c r="O179" s="1">
        <v>147</v>
      </c>
      <c r="P179" s="1">
        <v>0</v>
      </c>
      <c r="Q179" s="1" t="str">
        <f>IF(Table2[[#This Row],[Exercise angina]]=0, "Normal", "Abnormal")</f>
        <v>Normal</v>
      </c>
      <c r="R179" s="1">
        <v>3.6</v>
      </c>
      <c r="S179" s="1">
        <v>2</v>
      </c>
      <c r="T179" s="1">
        <v>0</v>
      </c>
      <c r="U179" s="1">
        <v>3</v>
      </c>
      <c r="V179"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79" s="1" t="s">
        <v>14</v>
      </c>
    </row>
    <row r="180" spans="1:23" x14ac:dyDescent="0.35">
      <c r="A180" s="1">
        <v>67</v>
      </c>
      <c r="B180" s="1" t="str">
        <f t="shared" si="2"/>
        <v>61-70</v>
      </c>
      <c r="C180" s="1">
        <v>1</v>
      </c>
      <c r="D180" s="1" t="str">
        <f>IF(Table2[[#This Row],[Sex]]=1,"Male", "Female")</f>
        <v>Male</v>
      </c>
      <c r="E180" s="1">
        <v>4</v>
      </c>
      <c r="F180" s="1" t="str">
        <f>IF(Table2[[#This Row],[Chest pain level]]=1, "Typical Angina", IF(Table2[[#This Row],[Chest pain level]]=2, "Atypical Angina", IF(Table2[[#This Row],[Chest pain level]]=3, "Non Anginal Pain", IF(Table2[[#This Row],[Chest pain level]]=4, "Asymptomatic"))))</f>
        <v>Asymptomatic</v>
      </c>
      <c r="G180" s="1">
        <v>125</v>
      </c>
      <c r="H180" s="1" t="str">
        <f>IF(Table2[[#This Row],[BP]]&lt;=120, "Normal",  IF(Table2[[#This Row],[BP]]&lt;=130, "Slightly Elevated", IF(Table2[[#This Row],[BP]]&lt;=140, "High", "Very High")))</f>
        <v>Slightly Elevated</v>
      </c>
      <c r="I180" s="1">
        <v>254</v>
      </c>
      <c r="J180" s="1" t="str">
        <f>IF(Table2[[#This Row],[Cholesterol]]&gt;=240, "High", "Normal")</f>
        <v>High</v>
      </c>
      <c r="K180" s="1">
        <v>1</v>
      </c>
      <c r="L180" s="1" t="str">
        <f>IF(Table2[[#This Row],[FBS over 120]]=0, "Normal", "High")</f>
        <v>High</v>
      </c>
      <c r="M180" s="1">
        <v>0</v>
      </c>
      <c r="N180" s="1" t="str">
        <f>IF(Table2[[#This Row],[EKG results]]=0, "Normal", "Abnormal")</f>
        <v>Normal</v>
      </c>
      <c r="O180" s="1">
        <v>163</v>
      </c>
      <c r="P180" s="1">
        <v>0</v>
      </c>
      <c r="Q180" s="1" t="str">
        <f>IF(Table2[[#This Row],[Exercise angina]]=0, "Normal", "Abnormal")</f>
        <v>Normal</v>
      </c>
      <c r="R180" s="1">
        <v>0.2</v>
      </c>
      <c r="S180" s="1">
        <v>2</v>
      </c>
      <c r="T180" s="1">
        <v>2</v>
      </c>
      <c r="U180" s="1">
        <v>7</v>
      </c>
      <c r="V180"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80" s="1" t="s">
        <v>14</v>
      </c>
    </row>
    <row r="181" spans="1:23" x14ac:dyDescent="0.35">
      <c r="A181" s="1">
        <v>50</v>
      </c>
      <c r="B181" s="1" t="str">
        <f t="shared" si="2"/>
        <v>41-50</v>
      </c>
      <c r="C181" s="1">
        <v>1</v>
      </c>
      <c r="D181" s="1" t="str">
        <f>IF(Table2[[#This Row],[Sex]]=1,"Male", "Female")</f>
        <v>Male</v>
      </c>
      <c r="E181" s="1">
        <v>3</v>
      </c>
      <c r="F181" s="1" t="str">
        <f>IF(Table2[[#This Row],[Chest pain level]]=1, "Typical Angina", IF(Table2[[#This Row],[Chest pain level]]=2, "Atypical Angina", IF(Table2[[#This Row],[Chest pain level]]=3, "Non Anginal Pain", IF(Table2[[#This Row],[Chest pain level]]=4, "Asymptomatic"))))</f>
        <v>Non Anginal Pain</v>
      </c>
      <c r="G181" s="1">
        <v>129</v>
      </c>
      <c r="H181" s="1" t="str">
        <f>IF(Table2[[#This Row],[BP]]&lt;=120, "Normal",  IF(Table2[[#This Row],[BP]]&lt;=130, "Slightly Elevated", IF(Table2[[#This Row],[BP]]&lt;=140, "High", "Very High")))</f>
        <v>Slightly Elevated</v>
      </c>
      <c r="I181" s="1">
        <v>196</v>
      </c>
      <c r="J181" s="1" t="str">
        <f>IF(Table2[[#This Row],[Cholesterol]]&gt;=240, "High", "Normal")</f>
        <v>Normal</v>
      </c>
      <c r="K181" s="1">
        <v>0</v>
      </c>
      <c r="L181" s="1" t="str">
        <f>IF(Table2[[#This Row],[FBS over 120]]=0, "Normal", "High")</f>
        <v>Normal</v>
      </c>
      <c r="M181" s="1">
        <v>0</v>
      </c>
      <c r="N181" s="1" t="str">
        <f>IF(Table2[[#This Row],[EKG results]]=0, "Normal", "Abnormal")</f>
        <v>Normal</v>
      </c>
      <c r="O181" s="1">
        <v>163</v>
      </c>
      <c r="P181" s="1">
        <v>0</v>
      </c>
      <c r="Q181" s="1" t="str">
        <f>IF(Table2[[#This Row],[Exercise angina]]=0, "Normal", "Abnormal")</f>
        <v>Normal</v>
      </c>
      <c r="R181" s="1">
        <v>0</v>
      </c>
      <c r="S181" s="1">
        <v>1</v>
      </c>
      <c r="T181" s="1">
        <v>0</v>
      </c>
      <c r="U181" s="1">
        <v>3</v>
      </c>
      <c r="V181"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Not At Risk</v>
      </c>
      <c r="W181" s="1" t="s">
        <v>15</v>
      </c>
    </row>
    <row r="182" spans="1:23" x14ac:dyDescent="0.35">
      <c r="A182" s="1">
        <v>42</v>
      </c>
      <c r="B182" s="1" t="str">
        <f t="shared" si="2"/>
        <v>41-50</v>
      </c>
      <c r="C182" s="1">
        <v>1</v>
      </c>
      <c r="D182" s="1" t="str">
        <f>IF(Table2[[#This Row],[Sex]]=1,"Male", "Female")</f>
        <v>Male</v>
      </c>
      <c r="E182" s="1">
        <v>3</v>
      </c>
      <c r="F182" s="1" t="str">
        <f>IF(Table2[[#This Row],[Chest pain level]]=1, "Typical Angina", IF(Table2[[#This Row],[Chest pain level]]=2, "Atypical Angina", IF(Table2[[#This Row],[Chest pain level]]=3, "Non Anginal Pain", IF(Table2[[#This Row],[Chest pain level]]=4, "Asymptomatic"))))</f>
        <v>Non Anginal Pain</v>
      </c>
      <c r="G182" s="1">
        <v>120</v>
      </c>
      <c r="H182" s="1" t="str">
        <f>IF(Table2[[#This Row],[BP]]&lt;=120, "Normal",  IF(Table2[[#This Row],[BP]]&lt;=130, "Slightly Elevated", IF(Table2[[#This Row],[BP]]&lt;=140, "High", "Very High")))</f>
        <v>Normal</v>
      </c>
      <c r="I182" s="1">
        <v>240</v>
      </c>
      <c r="J182" s="1" t="str">
        <f>IF(Table2[[#This Row],[Cholesterol]]&gt;=240, "High", "Normal")</f>
        <v>High</v>
      </c>
      <c r="K182" s="1">
        <v>1</v>
      </c>
      <c r="L182" s="1" t="str">
        <f>IF(Table2[[#This Row],[FBS over 120]]=0, "Normal", "High")</f>
        <v>High</v>
      </c>
      <c r="M182" s="1">
        <v>0</v>
      </c>
      <c r="N182" s="1" t="str">
        <f>IF(Table2[[#This Row],[EKG results]]=0, "Normal", "Abnormal")</f>
        <v>Normal</v>
      </c>
      <c r="O182" s="1">
        <v>194</v>
      </c>
      <c r="P182" s="1">
        <v>0</v>
      </c>
      <c r="Q182" s="1" t="str">
        <f>IF(Table2[[#This Row],[Exercise angina]]=0, "Normal", "Abnormal")</f>
        <v>Normal</v>
      </c>
      <c r="R182" s="1">
        <v>0.8</v>
      </c>
      <c r="S182" s="1">
        <v>3</v>
      </c>
      <c r="T182" s="1">
        <v>0</v>
      </c>
      <c r="U182" s="1">
        <v>7</v>
      </c>
      <c r="V182"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82" s="1" t="s">
        <v>15</v>
      </c>
    </row>
    <row r="183" spans="1:23" x14ac:dyDescent="0.35">
      <c r="A183" s="1">
        <v>56</v>
      </c>
      <c r="B183" s="1" t="str">
        <f t="shared" si="2"/>
        <v>51-60</v>
      </c>
      <c r="C183" s="1">
        <v>0</v>
      </c>
      <c r="D183" s="1" t="str">
        <f>IF(Table2[[#This Row],[Sex]]=1,"Male", "Female")</f>
        <v>Female</v>
      </c>
      <c r="E183" s="1">
        <v>4</v>
      </c>
      <c r="F183" s="1" t="str">
        <f>IF(Table2[[#This Row],[Chest pain level]]=1, "Typical Angina", IF(Table2[[#This Row],[Chest pain level]]=2, "Atypical Angina", IF(Table2[[#This Row],[Chest pain level]]=3, "Non Anginal Pain", IF(Table2[[#This Row],[Chest pain level]]=4, "Asymptomatic"))))</f>
        <v>Asymptomatic</v>
      </c>
      <c r="G183" s="1">
        <v>134</v>
      </c>
      <c r="H183" s="1" t="str">
        <f>IF(Table2[[#This Row],[BP]]&lt;=120, "Normal",  IF(Table2[[#This Row],[BP]]&lt;=130, "Slightly Elevated", IF(Table2[[#This Row],[BP]]&lt;=140, "High", "Very High")))</f>
        <v>High</v>
      </c>
      <c r="I183" s="1">
        <v>409</v>
      </c>
      <c r="J183" s="1" t="str">
        <f>IF(Table2[[#This Row],[Cholesterol]]&gt;=240, "High", "Normal")</f>
        <v>High</v>
      </c>
      <c r="K183" s="1">
        <v>0</v>
      </c>
      <c r="L183" s="1" t="str">
        <f>IF(Table2[[#This Row],[FBS over 120]]=0, "Normal", "High")</f>
        <v>Normal</v>
      </c>
      <c r="M183" s="1">
        <v>2</v>
      </c>
      <c r="N183" s="1" t="str">
        <f>IF(Table2[[#This Row],[EKG results]]=0, "Normal", "Abnormal")</f>
        <v>Abnormal</v>
      </c>
      <c r="O183" s="1">
        <v>150</v>
      </c>
      <c r="P183" s="1">
        <v>1</v>
      </c>
      <c r="Q183" s="1" t="str">
        <f>IF(Table2[[#This Row],[Exercise angina]]=0, "Normal", "Abnormal")</f>
        <v>Abnormal</v>
      </c>
      <c r="R183" s="1">
        <v>1.9</v>
      </c>
      <c r="S183" s="1">
        <v>2</v>
      </c>
      <c r="T183" s="1">
        <v>2</v>
      </c>
      <c r="U183" s="1">
        <v>7</v>
      </c>
      <c r="V183"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83" s="1" t="s">
        <v>14</v>
      </c>
    </row>
    <row r="184" spans="1:23" x14ac:dyDescent="0.35">
      <c r="A184" s="1">
        <v>41</v>
      </c>
      <c r="B184" s="1" t="str">
        <f t="shared" si="2"/>
        <v>41-50</v>
      </c>
      <c r="C184" s="1">
        <v>1</v>
      </c>
      <c r="D184" s="1" t="str">
        <f>IF(Table2[[#This Row],[Sex]]=1,"Male", "Female")</f>
        <v>Male</v>
      </c>
      <c r="E184" s="1">
        <v>4</v>
      </c>
      <c r="F184" s="1" t="str">
        <f>IF(Table2[[#This Row],[Chest pain level]]=1, "Typical Angina", IF(Table2[[#This Row],[Chest pain level]]=2, "Atypical Angina", IF(Table2[[#This Row],[Chest pain level]]=3, "Non Anginal Pain", IF(Table2[[#This Row],[Chest pain level]]=4, "Asymptomatic"))))</f>
        <v>Asymptomatic</v>
      </c>
      <c r="G184" s="1">
        <v>110</v>
      </c>
      <c r="H184" s="1" t="str">
        <f>IF(Table2[[#This Row],[BP]]&lt;=120, "Normal",  IF(Table2[[#This Row],[BP]]&lt;=130, "Slightly Elevated", IF(Table2[[#This Row],[BP]]&lt;=140, "High", "Very High")))</f>
        <v>Normal</v>
      </c>
      <c r="I184" s="1">
        <v>172</v>
      </c>
      <c r="J184" s="1" t="str">
        <f>IF(Table2[[#This Row],[Cholesterol]]&gt;=240, "High", "Normal")</f>
        <v>Normal</v>
      </c>
      <c r="K184" s="1">
        <v>0</v>
      </c>
      <c r="L184" s="1" t="str">
        <f>IF(Table2[[#This Row],[FBS over 120]]=0, "Normal", "High")</f>
        <v>Normal</v>
      </c>
      <c r="M184" s="1">
        <v>2</v>
      </c>
      <c r="N184" s="1" t="str">
        <f>IF(Table2[[#This Row],[EKG results]]=0, "Normal", "Abnormal")</f>
        <v>Abnormal</v>
      </c>
      <c r="O184" s="1">
        <v>158</v>
      </c>
      <c r="P184" s="1">
        <v>0</v>
      </c>
      <c r="Q184" s="1" t="str">
        <f>IF(Table2[[#This Row],[Exercise angina]]=0, "Normal", "Abnormal")</f>
        <v>Normal</v>
      </c>
      <c r="R184" s="1">
        <v>0</v>
      </c>
      <c r="S184" s="1">
        <v>1</v>
      </c>
      <c r="T184" s="1">
        <v>0</v>
      </c>
      <c r="U184" s="1">
        <v>7</v>
      </c>
      <c r="V184"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84" s="1" t="s">
        <v>14</v>
      </c>
    </row>
    <row r="185" spans="1:23" x14ac:dyDescent="0.35">
      <c r="A185" s="1">
        <v>42</v>
      </c>
      <c r="B185" s="1" t="str">
        <f t="shared" si="2"/>
        <v>41-50</v>
      </c>
      <c r="C185" s="1">
        <v>0</v>
      </c>
      <c r="D185" s="1" t="str">
        <f>IF(Table2[[#This Row],[Sex]]=1,"Male", "Female")</f>
        <v>Female</v>
      </c>
      <c r="E185" s="1">
        <v>4</v>
      </c>
      <c r="F185" s="1" t="str">
        <f>IF(Table2[[#This Row],[Chest pain level]]=1, "Typical Angina", IF(Table2[[#This Row],[Chest pain level]]=2, "Atypical Angina", IF(Table2[[#This Row],[Chest pain level]]=3, "Non Anginal Pain", IF(Table2[[#This Row],[Chest pain level]]=4, "Asymptomatic"))))</f>
        <v>Asymptomatic</v>
      </c>
      <c r="G185" s="1">
        <v>102</v>
      </c>
      <c r="H185" s="1" t="str">
        <f>IF(Table2[[#This Row],[BP]]&lt;=120, "Normal",  IF(Table2[[#This Row],[BP]]&lt;=130, "Slightly Elevated", IF(Table2[[#This Row],[BP]]&lt;=140, "High", "Very High")))</f>
        <v>Normal</v>
      </c>
      <c r="I185" s="1">
        <v>265</v>
      </c>
      <c r="J185" s="1" t="str">
        <f>IF(Table2[[#This Row],[Cholesterol]]&gt;=240, "High", "Normal")</f>
        <v>High</v>
      </c>
      <c r="K185" s="1">
        <v>0</v>
      </c>
      <c r="L185" s="1" t="str">
        <f>IF(Table2[[#This Row],[FBS over 120]]=0, "Normal", "High")</f>
        <v>Normal</v>
      </c>
      <c r="M185" s="1">
        <v>2</v>
      </c>
      <c r="N185" s="1" t="str">
        <f>IF(Table2[[#This Row],[EKG results]]=0, "Normal", "Abnormal")</f>
        <v>Abnormal</v>
      </c>
      <c r="O185" s="1">
        <v>122</v>
      </c>
      <c r="P185" s="1">
        <v>0</v>
      </c>
      <c r="Q185" s="1" t="str">
        <f>IF(Table2[[#This Row],[Exercise angina]]=0, "Normal", "Abnormal")</f>
        <v>Normal</v>
      </c>
      <c r="R185" s="1">
        <v>0.6</v>
      </c>
      <c r="S185" s="1">
        <v>2</v>
      </c>
      <c r="T185" s="1">
        <v>0</v>
      </c>
      <c r="U185" s="1">
        <v>3</v>
      </c>
      <c r="V185"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85" s="1" t="s">
        <v>15</v>
      </c>
    </row>
    <row r="186" spans="1:23" x14ac:dyDescent="0.35">
      <c r="A186" s="1">
        <v>53</v>
      </c>
      <c r="B186" s="1" t="str">
        <f t="shared" si="2"/>
        <v>51-60</v>
      </c>
      <c r="C186" s="1">
        <v>1</v>
      </c>
      <c r="D186" s="1" t="str">
        <f>IF(Table2[[#This Row],[Sex]]=1,"Male", "Female")</f>
        <v>Male</v>
      </c>
      <c r="E186" s="1">
        <v>3</v>
      </c>
      <c r="F186" s="1" t="str">
        <f>IF(Table2[[#This Row],[Chest pain level]]=1, "Typical Angina", IF(Table2[[#This Row],[Chest pain level]]=2, "Atypical Angina", IF(Table2[[#This Row],[Chest pain level]]=3, "Non Anginal Pain", IF(Table2[[#This Row],[Chest pain level]]=4, "Asymptomatic"))))</f>
        <v>Non Anginal Pain</v>
      </c>
      <c r="G186" s="1">
        <v>130</v>
      </c>
      <c r="H186" s="1" t="str">
        <f>IF(Table2[[#This Row],[BP]]&lt;=120, "Normal",  IF(Table2[[#This Row],[BP]]&lt;=130, "Slightly Elevated", IF(Table2[[#This Row],[BP]]&lt;=140, "High", "Very High")))</f>
        <v>Slightly Elevated</v>
      </c>
      <c r="I186" s="1">
        <v>246</v>
      </c>
      <c r="J186" s="1" t="str">
        <f>IF(Table2[[#This Row],[Cholesterol]]&gt;=240, "High", "Normal")</f>
        <v>High</v>
      </c>
      <c r="K186" s="1">
        <v>1</v>
      </c>
      <c r="L186" s="1" t="str">
        <f>IF(Table2[[#This Row],[FBS over 120]]=0, "Normal", "High")</f>
        <v>High</v>
      </c>
      <c r="M186" s="1">
        <v>2</v>
      </c>
      <c r="N186" s="1" t="str">
        <f>IF(Table2[[#This Row],[EKG results]]=0, "Normal", "Abnormal")</f>
        <v>Abnormal</v>
      </c>
      <c r="O186" s="1">
        <v>173</v>
      </c>
      <c r="P186" s="1">
        <v>0</v>
      </c>
      <c r="Q186" s="1" t="str">
        <f>IF(Table2[[#This Row],[Exercise angina]]=0, "Normal", "Abnormal")</f>
        <v>Normal</v>
      </c>
      <c r="R186" s="1">
        <v>0</v>
      </c>
      <c r="S186" s="1">
        <v>1</v>
      </c>
      <c r="T186" s="1">
        <v>3</v>
      </c>
      <c r="U186" s="1">
        <v>3</v>
      </c>
      <c r="V186"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86" s="1" t="s">
        <v>15</v>
      </c>
    </row>
    <row r="187" spans="1:23" x14ac:dyDescent="0.35">
      <c r="A187" s="1">
        <v>43</v>
      </c>
      <c r="B187" s="1" t="str">
        <f t="shared" si="2"/>
        <v>41-50</v>
      </c>
      <c r="C187" s="1">
        <v>1</v>
      </c>
      <c r="D187" s="1" t="str">
        <f>IF(Table2[[#This Row],[Sex]]=1,"Male", "Female")</f>
        <v>Male</v>
      </c>
      <c r="E187" s="1">
        <v>3</v>
      </c>
      <c r="F187" s="1" t="str">
        <f>IF(Table2[[#This Row],[Chest pain level]]=1, "Typical Angina", IF(Table2[[#This Row],[Chest pain level]]=2, "Atypical Angina", IF(Table2[[#This Row],[Chest pain level]]=3, "Non Anginal Pain", IF(Table2[[#This Row],[Chest pain level]]=4, "Asymptomatic"))))</f>
        <v>Non Anginal Pain</v>
      </c>
      <c r="G187" s="1">
        <v>130</v>
      </c>
      <c r="H187" s="1" t="str">
        <f>IF(Table2[[#This Row],[BP]]&lt;=120, "Normal",  IF(Table2[[#This Row],[BP]]&lt;=130, "Slightly Elevated", IF(Table2[[#This Row],[BP]]&lt;=140, "High", "Very High")))</f>
        <v>Slightly Elevated</v>
      </c>
      <c r="I187" s="1">
        <v>315</v>
      </c>
      <c r="J187" s="1" t="str">
        <f>IF(Table2[[#This Row],[Cholesterol]]&gt;=240, "High", "Normal")</f>
        <v>High</v>
      </c>
      <c r="K187" s="1">
        <v>0</v>
      </c>
      <c r="L187" s="1" t="str">
        <f>IF(Table2[[#This Row],[FBS over 120]]=0, "Normal", "High")</f>
        <v>Normal</v>
      </c>
      <c r="M187" s="1">
        <v>0</v>
      </c>
      <c r="N187" s="1" t="str">
        <f>IF(Table2[[#This Row],[EKG results]]=0, "Normal", "Abnormal")</f>
        <v>Normal</v>
      </c>
      <c r="O187" s="1">
        <v>162</v>
      </c>
      <c r="P187" s="1">
        <v>0</v>
      </c>
      <c r="Q187" s="1" t="str">
        <f>IF(Table2[[#This Row],[Exercise angina]]=0, "Normal", "Abnormal")</f>
        <v>Normal</v>
      </c>
      <c r="R187" s="1">
        <v>1.9</v>
      </c>
      <c r="S187" s="1">
        <v>1</v>
      </c>
      <c r="T187" s="1">
        <v>1</v>
      </c>
      <c r="U187" s="1">
        <v>3</v>
      </c>
      <c r="V187"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87" s="1" t="s">
        <v>15</v>
      </c>
    </row>
    <row r="188" spans="1:23" x14ac:dyDescent="0.35">
      <c r="A188" s="1">
        <v>56</v>
      </c>
      <c r="B188" s="1" t="str">
        <f t="shared" si="2"/>
        <v>51-60</v>
      </c>
      <c r="C188" s="1">
        <v>1</v>
      </c>
      <c r="D188" s="1" t="str">
        <f>IF(Table2[[#This Row],[Sex]]=1,"Male", "Female")</f>
        <v>Male</v>
      </c>
      <c r="E188" s="1">
        <v>4</v>
      </c>
      <c r="F188" s="1" t="str">
        <f>IF(Table2[[#This Row],[Chest pain level]]=1, "Typical Angina", IF(Table2[[#This Row],[Chest pain level]]=2, "Atypical Angina", IF(Table2[[#This Row],[Chest pain level]]=3, "Non Anginal Pain", IF(Table2[[#This Row],[Chest pain level]]=4, "Asymptomatic"))))</f>
        <v>Asymptomatic</v>
      </c>
      <c r="G188" s="1">
        <v>132</v>
      </c>
      <c r="H188" s="1" t="str">
        <f>IF(Table2[[#This Row],[BP]]&lt;=120, "Normal",  IF(Table2[[#This Row],[BP]]&lt;=130, "Slightly Elevated", IF(Table2[[#This Row],[BP]]&lt;=140, "High", "Very High")))</f>
        <v>High</v>
      </c>
      <c r="I188" s="1">
        <v>184</v>
      </c>
      <c r="J188" s="1" t="str">
        <f>IF(Table2[[#This Row],[Cholesterol]]&gt;=240, "High", "Normal")</f>
        <v>Normal</v>
      </c>
      <c r="K188" s="1">
        <v>0</v>
      </c>
      <c r="L188" s="1" t="str">
        <f>IF(Table2[[#This Row],[FBS over 120]]=0, "Normal", "High")</f>
        <v>Normal</v>
      </c>
      <c r="M188" s="1">
        <v>2</v>
      </c>
      <c r="N188" s="1" t="str">
        <f>IF(Table2[[#This Row],[EKG results]]=0, "Normal", "Abnormal")</f>
        <v>Abnormal</v>
      </c>
      <c r="O188" s="1">
        <v>105</v>
      </c>
      <c r="P188" s="1">
        <v>1</v>
      </c>
      <c r="Q188" s="1" t="str">
        <f>IF(Table2[[#This Row],[Exercise angina]]=0, "Normal", "Abnormal")</f>
        <v>Abnormal</v>
      </c>
      <c r="R188" s="1">
        <v>2.1</v>
      </c>
      <c r="S188" s="1">
        <v>2</v>
      </c>
      <c r="T188" s="1">
        <v>1</v>
      </c>
      <c r="U188" s="1">
        <v>6</v>
      </c>
      <c r="V188"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88" s="1" t="s">
        <v>14</v>
      </c>
    </row>
    <row r="189" spans="1:23" x14ac:dyDescent="0.35">
      <c r="A189" s="1">
        <v>52</v>
      </c>
      <c r="B189" s="1" t="str">
        <f t="shared" si="2"/>
        <v>51-60</v>
      </c>
      <c r="C189" s="1">
        <v>1</v>
      </c>
      <c r="D189" s="1" t="str">
        <f>IF(Table2[[#This Row],[Sex]]=1,"Male", "Female")</f>
        <v>Male</v>
      </c>
      <c r="E189" s="1">
        <v>4</v>
      </c>
      <c r="F189" s="1" t="str">
        <f>IF(Table2[[#This Row],[Chest pain level]]=1, "Typical Angina", IF(Table2[[#This Row],[Chest pain level]]=2, "Atypical Angina", IF(Table2[[#This Row],[Chest pain level]]=3, "Non Anginal Pain", IF(Table2[[#This Row],[Chest pain level]]=4, "Asymptomatic"))))</f>
        <v>Asymptomatic</v>
      </c>
      <c r="G189" s="1">
        <v>108</v>
      </c>
      <c r="H189" s="1" t="str">
        <f>IF(Table2[[#This Row],[BP]]&lt;=120, "Normal",  IF(Table2[[#This Row],[BP]]&lt;=130, "Slightly Elevated", IF(Table2[[#This Row],[BP]]&lt;=140, "High", "Very High")))</f>
        <v>Normal</v>
      </c>
      <c r="I189" s="1">
        <v>233</v>
      </c>
      <c r="J189" s="1" t="str">
        <f>IF(Table2[[#This Row],[Cholesterol]]&gt;=240, "High", "Normal")</f>
        <v>Normal</v>
      </c>
      <c r="K189" s="1">
        <v>1</v>
      </c>
      <c r="L189" s="1" t="str">
        <f>IF(Table2[[#This Row],[FBS over 120]]=0, "Normal", "High")</f>
        <v>High</v>
      </c>
      <c r="M189" s="1">
        <v>0</v>
      </c>
      <c r="N189" s="1" t="str">
        <f>IF(Table2[[#This Row],[EKG results]]=0, "Normal", "Abnormal")</f>
        <v>Normal</v>
      </c>
      <c r="O189" s="1">
        <v>147</v>
      </c>
      <c r="P189" s="1">
        <v>0</v>
      </c>
      <c r="Q189" s="1" t="str">
        <f>IF(Table2[[#This Row],[Exercise angina]]=0, "Normal", "Abnormal")</f>
        <v>Normal</v>
      </c>
      <c r="R189" s="1">
        <v>0.1</v>
      </c>
      <c r="S189" s="1">
        <v>1</v>
      </c>
      <c r="T189" s="1">
        <v>3</v>
      </c>
      <c r="U189" s="1">
        <v>7</v>
      </c>
      <c r="V189"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89" s="1" t="s">
        <v>15</v>
      </c>
    </row>
    <row r="190" spans="1:23" x14ac:dyDescent="0.35">
      <c r="A190" s="1">
        <v>62</v>
      </c>
      <c r="B190" s="1" t="str">
        <f t="shared" si="2"/>
        <v>61-70</v>
      </c>
      <c r="C190" s="1">
        <v>0</v>
      </c>
      <c r="D190" s="1" t="str">
        <f>IF(Table2[[#This Row],[Sex]]=1,"Male", "Female")</f>
        <v>Female</v>
      </c>
      <c r="E190" s="1">
        <v>4</v>
      </c>
      <c r="F190" s="1" t="str">
        <f>IF(Table2[[#This Row],[Chest pain level]]=1, "Typical Angina", IF(Table2[[#This Row],[Chest pain level]]=2, "Atypical Angina", IF(Table2[[#This Row],[Chest pain level]]=3, "Non Anginal Pain", IF(Table2[[#This Row],[Chest pain level]]=4, "Asymptomatic"))))</f>
        <v>Asymptomatic</v>
      </c>
      <c r="G190" s="1">
        <v>140</v>
      </c>
      <c r="H190" s="1" t="str">
        <f>IF(Table2[[#This Row],[BP]]&lt;=120, "Normal",  IF(Table2[[#This Row],[BP]]&lt;=130, "Slightly Elevated", IF(Table2[[#This Row],[BP]]&lt;=140, "High", "Very High")))</f>
        <v>High</v>
      </c>
      <c r="I190" s="1">
        <v>394</v>
      </c>
      <c r="J190" s="1" t="str">
        <f>IF(Table2[[#This Row],[Cholesterol]]&gt;=240, "High", "Normal")</f>
        <v>High</v>
      </c>
      <c r="K190" s="1">
        <v>0</v>
      </c>
      <c r="L190" s="1" t="str">
        <f>IF(Table2[[#This Row],[FBS over 120]]=0, "Normal", "High")</f>
        <v>Normal</v>
      </c>
      <c r="M190" s="1">
        <v>2</v>
      </c>
      <c r="N190" s="1" t="str">
        <f>IF(Table2[[#This Row],[EKG results]]=0, "Normal", "Abnormal")</f>
        <v>Abnormal</v>
      </c>
      <c r="O190" s="1">
        <v>157</v>
      </c>
      <c r="P190" s="1">
        <v>0</v>
      </c>
      <c r="Q190" s="1" t="str">
        <f>IF(Table2[[#This Row],[Exercise angina]]=0, "Normal", "Abnormal")</f>
        <v>Normal</v>
      </c>
      <c r="R190" s="1">
        <v>1.2</v>
      </c>
      <c r="S190" s="1">
        <v>2</v>
      </c>
      <c r="T190" s="1">
        <v>0</v>
      </c>
      <c r="U190" s="1">
        <v>3</v>
      </c>
      <c r="V190"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90" s="1" t="s">
        <v>15</v>
      </c>
    </row>
    <row r="191" spans="1:23" x14ac:dyDescent="0.35">
      <c r="A191" s="1">
        <v>70</v>
      </c>
      <c r="B191" s="1" t="str">
        <f t="shared" si="2"/>
        <v>61-70</v>
      </c>
      <c r="C191" s="1">
        <v>1</v>
      </c>
      <c r="D191" s="1" t="str">
        <f>IF(Table2[[#This Row],[Sex]]=1,"Male", "Female")</f>
        <v>Male</v>
      </c>
      <c r="E191" s="1">
        <v>3</v>
      </c>
      <c r="F191" s="1" t="str">
        <f>IF(Table2[[#This Row],[Chest pain level]]=1, "Typical Angina", IF(Table2[[#This Row],[Chest pain level]]=2, "Atypical Angina", IF(Table2[[#This Row],[Chest pain level]]=3, "Non Anginal Pain", IF(Table2[[#This Row],[Chest pain level]]=4, "Asymptomatic"))))</f>
        <v>Non Anginal Pain</v>
      </c>
      <c r="G191" s="1">
        <v>160</v>
      </c>
      <c r="H191" s="1" t="str">
        <f>IF(Table2[[#This Row],[BP]]&lt;=120, "Normal",  IF(Table2[[#This Row],[BP]]&lt;=130, "Slightly Elevated", IF(Table2[[#This Row],[BP]]&lt;=140, "High", "Very High")))</f>
        <v>Very High</v>
      </c>
      <c r="I191" s="1">
        <v>269</v>
      </c>
      <c r="J191" s="1" t="str">
        <f>IF(Table2[[#This Row],[Cholesterol]]&gt;=240, "High", "Normal")</f>
        <v>High</v>
      </c>
      <c r="K191" s="1">
        <v>0</v>
      </c>
      <c r="L191" s="1" t="str">
        <f>IF(Table2[[#This Row],[FBS over 120]]=0, "Normal", "High")</f>
        <v>Normal</v>
      </c>
      <c r="M191" s="1">
        <v>0</v>
      </c>
      <c r="N191" s="1" t="str">
        <f>IF(Table2[[#This Row],[EKG results]]=0, "Normal", "Abnormal")</f>
        <v>Normal</v>
      </c>
      <c r="O191" s="1">
        <v>112</v>
      </c>
      <c r="P191" s="1">
        <v>1</v>
      </c>
      <c r="Q191" s="1" t="str">
        <f>IF(Table2[[#This Row],[Exercise angina]]=0, "Normal", "Abnormal")</f>
        <v>Abnormal</v>
      </c>
      <c r="R191" s="1">
        <v>2.9</v>
      </c>
      <c r="S191" s="1">
        <v>2</v>
      </c>
      <c r="T191" s="1">
        <v>1</v>
      </c>
      <c r="U191" s="1">
        <v>7</v>
      </c>
      <c r="V191"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91" s="1" t="s">
        <v>14</v>
      </c>
    </row>
    <row r="192" spans="1:23" x14ac:dyDescent="0.35">
      <c r="A192" s="1">
        <v>54</v>
      </c>
      <c r="B192" s="1" t="str">
        <f t="shared" si="2"/>
        <v>51-60</v>
      </c>
      <c r="C192" s="1">
        <v>1</v>
      </c>
      <c r="D192" s="1" t="str">
        <f>IF(Table2[[#This Row],[Sex]]=1,"Male", "Female")</f>
        <v>Male</v>
      </c>
      <c r="E192" s="1">
        <v>4</v>
      </c>
      <c r="F192" s="1" t="str">
        <f>IF(Table2[[#This Row],[Chest pain level]]=1, "Typical Angina", IF(Table2[[#This Row],[Chest pain level]]=2, "Atypical Angina", IF(Table2[[#This Row],[Chest pain level]]=3, "Non Anginal Pain", IF(Table2[[#This Row],[Chest pain level]]=4, "Asymptomatic"))))</f>
        <v>Asymptomatic</v>
      </c>
      <c r="G192" s="1">
        <v>140</v>
      </c>
      <c r="H192" s="1" t="str">
        <f>IF(Table2[[#This Row],[BP]]&lt;=120, "Normal",  IF(Table2[[#This Row],[BP]]&lt;=130, "Slightly Elevated", IF(Table2[[#This Row],[BP]]&lt;=140, "High", "Very High")))</f>
        <v>High</v>
      </c>
      <c r="I192" s="1">
        <v>239</v>
      </c>
      <c r="J192" s="1" t="str">
        <f>IF(Table2[[#This Row],[Cholesterol]]&gt;=240, "High", "Normal")</f>
        <v>Normal</v>
      </c>
      <c r="K192" s="1">
        <v>0</v>
      </c>
      <c r="L192" s="1" t="str">
        <f>IF(Table2[[#This Row],[FBS over 120]]=0, "Normal", "High")</f>
        <v>Normal</v>
      </c>
      <c r="M192" s="1">
        <v>0</v>
      </c>
      <c r="N192" s="1" t="str">
        <f>IF(Table2[[#This Row],[EKG results]]=0, "Normal", "Abnormal")</f>
        <v>Normal</v>
      </c>
      <c r="O192" s="1">
        <v>160</v>
      </c>
      <c r="P192" s="1">
        <v>0</v>
      </c>
      <c r="Q192" s="1" t="str">
        <f>IF(Table2[[#This Row],[Exercise angina]]=0, "Normal", "Abnormal")</f>
        <v>Normal</v>
      </c>
      <c r="R192" s="1">
        <v>1.2</v>
      </c>
      <c r="S192" s="1">
        <v>1</v>
      </c>
      <c r="T192" s="1">
        <v>0</v>
      </c>
      <c r="U192" s="1">
        <v>3</v>
      </c>
      <c r="V192"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92" s="1" t="s">
        <v>15</v>
      </c>
    </row>
    <row r="193" spans="1:23" x14ac:dyDescent="0.35">
      <c r="A193" s="1">
        <v>70</v>
      </c>
      <c r="B193" s="1" t="str">
        <f t="shared" si="2"/>
        <v>61-70</v>
      </c>
      <c r="C193" s="1">
        <v>1</v>
      </c>
      <c r="D193" s="1" t="str">
        <f>IF(Table2[[#This Row],[Sex]]=1,"Male", "Female")</f>
        <v>Male</v>
      </c>
      <c r="E193" s="1">
        <v>4</v>
      </c>
      <c r="F193" s="1" t="str">
        <f>IF(Table2[[#This Row],[Chest pain level]]=1, "Typical Angina", IF(Table2[[#This Row],[Chest pain level]]=2, "Atypical Angina", IF(Table2[[#This Row],[Chest pain level]]=3, "Non Anginal Pain", IF(Table2[[#This Row],[Chest pain level]]=4, "Asymptomatic"))))</f>
        <v>Asymptomatic</v>
      </c>
      <c r="G193" s="1">
        <v>145</v>
      </c>
      <c r="H193" s="1" t="str">
        <f>IF(Table2[[#This Row],[BP]]&lt;=120, "Normal",  IF(Table2[[#This Row],[BP]]&lt;=130, "Slightly Elevated", IF(Table2[[#This Row],[BP]]&lt;=140, "High", "Very High")))</f>
        <v>Very High</v>
      </c>
      <c r="I193" s="1">
        <v>174</v>
      </c>
      <c r="J193" s="1" t="str">
        <f>IF(Table2[[#This Row],[Cholesterol]]&gt;=240, "High", "Normal")</f>
        <v>Normal</v>
      </c>
      <c r="K193" s="1">
        <v>0</v>
      </c>
      <c r="L193" s="1" t="str">
        <f>IF(Table2[[#This Row],[FBS over 120]]=0, "Normal", "High")</f>
        <v>Normal</v>
      </c>
      <c r="M193" s="1">
        <v>0</v>
      </c>
      <c r="N193" s="1" t="str">
        <f>IF(Table2[[#This Row],[EKG results]]=0, "Normal", "Abnormal")</f>
        <v>Normal</v>
      </c>
      <c r="O193" s="1">
        <v>125</v>
      </c>
      <c r="P193" s="1">
        <v>1</v>
      </c>
      <c r="Q193" s="1" t="str">
        <f>IF(Table2[[#This Row],[Exercise angina]]=0, "Normal", "Abnormal")</f>
        <v>Abnormal</v>
      </c>
      <c r="R193" s="1">
        <v>2.6</v>
      </c>
      <c r="S193" s="1">
        <v>3</v>
      </c>
      <c r="T193" s="1">
        <v>0</v>
      </c>
      <c r="U193" s="1">
        <v>7</v>
      </c>
      <c r="V193"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93" s="1" t="s">
        <v>14</v>
      </c>
    </row>
    <row r="194" spans="1:23" x14ac:dyDescent="0.35">
      <c r="A194" s="1">
        <v>54</v>
      </c>
      <c r="B194" s="1" t="str">
        <f t="shared" ref="B194:B257" si="3">IF(A194&lt;=30, "Under 30", IF(A194&lt;=40, "31-40", IF(A194&lt;=50, "41-50", IF(A194&lt;=60, "51-60", IF(A194&lt;=70, "61-70", IF(A194&lt;=80, "71-80", "Above 80"))))))</f>
        <v>51-60</v>
      </c>
      <c r="C194" s="1">
        <v>1</v>
      </c>
      <c r="D194" s="1" t="str">
        <f>IF(Table2[[#This Row],[Sex]]=1,"Male", "Female")</f>
        <v>Male</v>
      </c>
      <c r="E194" s="1">
        <v>2</v>
      </c>
      <c r="F194" s="1" t="str">
        <f>IF(Table2[[#This Row],[Chest pain level]]=1, "Typical Angina", IF(Table2[[#This Row],[Chest pain level]]=2, "Atypical Angina", IF(Table2[[#This Row],[Chest pain level]]=3, "Non Anginal Pain", IF(Table2[[#This Row],[Chest pain level]]=4, "Asymptomatic"))))</f>
        <v>Atypical Angina</v>
      </c>
      <c r="G194" s="1">
        <v>108</v>
      </c>
      <c r="H194" s="1" t="str">
        <f>IF(Table2[[#This Row],[BP]]&lt;=120, "Normal",  IF(Table2[[#This Row],[BP]]&lt;=130, "Slightly Elevated", IF(Table2[[#This Row],[BP]]&lt;=140, "High", "Very High")))</f>
        <v>Normal</v>
      </c>
      <c r="I194" s="1">
        <v>309</v>
      </c>
      <c r="J194" s="1" t="str">
        <f>IF(Table2[[#This Row],[Cholesterol]]&gt;=240, "High", "Normal")</f>
        <v>High</v>
      </c>
      <c r="K194" s="1">
        <v>0</v>
      </c>
      <c r="L194" s="1" t="str">
        <f>IF(Table2[[#This Row],[FBS over 120]]=0, "Normal", "High")</f>
        <v>Normal</v>
      </c>
      <c r="M194" s="1">
        <v>0</v>
      </c>
      <c r="N194" s="1" t="str">
        <f>IF(Table2[[#This Row],[EKG results]]=0, "Normal", "Abnormal")</f>
        <v>Normal</v>
      </c>
      <c r="O194" s="1">
        <v>156</v>
      </c>
      <c r="P194" s="1">
        <v>0</v>
      </c>
      <c r="Q194" s="1" t="str">
        <f>IF(Table2[[#This Row],[Exercise angina]]=0, "Normal", "Abnormal")</f>
        <v>Normal</v>
      </c>
      <c r="R194" s="1">
        <v>0</v>
      </c>
      <c r="S194" s="1">
        <v>1</v>
      </c>
      <c r="T194" s="1">
        <v>0</v>
      </c>
      <c r="U194" s="1">
        <v>7</v>
      </c>
      <c r="V194"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94" s="1" t="s">
        <v>15</v>
      </c>
    </row>
    <row r="195" spans="1:23" x14ac:dyDescent="0.35">
      <c r="A195" s="1">
        <v>35</v>
      </c>
      <c r="B195" s="1" t="str">
        <f t="shared" si="3"/>
        <v>31-40</v>
      </c>
      <c r="C195" s="1">
        <v>1</v>
      </c>
      <c r="D195" s="1" t="str">
        <f>IF(Table2[[#This Row],[Sex]]=1,"Male", "Female")</f>
        <v>Male</v>
      </c>
      <c r="E195" s="1">
        <v>4</v>
      </c>
      <c r="F195" s="1" t="str">
        <f>IF(Table2[[#This Row],[Chest pain level]]=1, "Typical Angina", IF(Table2[[#This Row],[Chest pain level]]=2, "Atypical Angina", IF(Table2[[#This Row],[Chest pain level]]=3, "Non Anginal Pain", IF(Table2[[#This Row],[Chest pain level]]=4, "Asymptomatic"))))</f>
        <v>Asymptomatic</v>
      </c>
      <c r="G195" s="1">
        <v>126</v>
      </c>
      <c r="H195" s="1" t="str">
        <f>IF(Table2[[#This Row],[BP]]&lt;=120, "Normal",  IF(Table2[[#This Row],[BP]]&lt;=130, "Slightly Elevated", IF(Table2[[#This Row],[BP]]&lt;=140, "High", "Very High")))</f>
        <v>Slightly Elevated</v>
      </c>
      <c r="I195" s="1">
        <v>282</v>
      </c>
      <c r="J195" s="1" t="str">
        <f>IF(Table2[[#This Row],[Cholesterol]]&gt;=240, "High", "Normal")</f>
        <v>High</v>
      </c>
      <c r="K195" s="1">
        <v>0</v>
      </c>
      <c r="L195" s="1" t="str">
        <f>IF(Table2[[#This Row],[FBS over 120]]=0, "Normal", "High")</f>
        <v>Normal</v>
      </c>
      <c r="M195" s="1">
        <v>2</v>
      </c>
      <c r="N195" s="1" t="str">
        <f>IF(Table2[[#This Row],[EKG results]]=0, "Normal", "Abnormal")</f>
        <v>Abnormal</v>
      </c>
      <c r="O195" s="1">
        <v>156</v>
      </c>
      <c r="P195" s="1">
        <v>1</v>
      </c>
      <c r="Q195" s="1" t="str">
        <f>IF(Table2[[#This Row],[Exercise angina]]=0, "Normal", "Abnormal")</f>
        <v>Abnormal</v>
      </c>
      <c r="R195" s="1">
        <v>0</v>
      </c>
      <c r="S195" s="1">
        <v>1</v>
      </c>
      <c r="T195" s="1">
        <v>0</v>
      </c>
      <c r="U195" s="1">
        <v>7</v>
      </c>
      <c r="V195"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95" s="1" t="s">
        <v>14</v>
      </c>
    </row>
    <row r="196" spans="1:23" x14ac:dyDescent="0.35">
      <c r="A196" s="1">
        <v>48</v>
      </c>
      <c r="B196" s="1" t="str">
        <f t="shared" si="3"/>
        <v>41-50</v>
      </c>
      <c r="C196" s="1">
        <v>1</v>
      </c>
      <c r="D196" s="1" t="str">
        <f>IF(Table2[[#This Row],[Sex]]=1,"Male", "Female")</f>
        <v>Male</v>
      </c>
      <c r="E196" s="1">
        <v>3</v>
      </c>
      <c r="F196" s="1" t="str">
        <f>IF(Table2[[#This Row],[Chest pain level]]=1, "Typical Angina", IF(Table2[[#This Row],[Chest pain level]]=2, "Atypical Angina", IF(Table2[[#This Row],[Chest pain level]]=3, "Non Anginal Pain", IF(Table2[[#This Row],[Chest pain level]]=4, "Asymptomatic"))))</f>
        <v>Non Anginal Pain</v>
      </c>
      <c r="G196" s="1">
        <v>124</v>
      </c>
      <c r="H196" s="1" t="str">
        <f>IF(Table2[[#This Row],[BP]]&lt;=120, "Normal",  IF(Table2[[#This Row],[BP]]&lt;=130, "Slightly Elevated", IF(Table2[[#This Row],[BP]]&lt;=140, "High", "Very High")))</f>
        <v>Slightly Elevated</v>
      </c>
      <c r="I196" s="1">
        <v>255</v>
      </c>
      <c r="J196" s="1" t="str">
        <f>IF(Table2[[#This Row],[Cholesterol]]&gt;=240, "High", "Normal")</f>
        <v>High</v>
      </c>
      <c r="K196" s="1">
        <v>1</v>
      </c>
      <c r="L196" s="1" t="str">
        <f>IF(Table2[[#This Row],[FBS over 120]]=0, "Normal", "High")</f>
        <v>High</v>
      </c>
      <c r="M196" s="1">
        <v>0</v>
      </c>
      <c r="N196" s="1" t="str">
        <f>IF(Table2[[#This Row],[EKG results]]=0, "Normal", "Abnormal")</f>
        <v>Normal</v>
      </c>
      <c r="O196" s="1">
        <v>175</v>
      </c>
      <c r="P196" s="1">
        <v>0</v>
      </c>
      <c r="Q196" s="1" t="str">
        <f>IF(Table2[[#This Row],[Exercise angina]]=0, "Normal", "Abnormal")</f>
        <v>Normal</v>
      </c>
      <c r="R196" s="1">
        <v>0</v>
      </c>
      <c r="S196" s="1">
        <v>1</v>
      </c>
      <c r="T196" s="1">
        <v>2</v>
      </c>
      <c r="U196" s="1">
        <v>3</v>
      </c>
      <c r="V196"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96" s="1" t="s">
        <v>15</v>
      </c>
    </row>
    <row r="197" spans="1:23" x14ac:dyDescent="0.35">
      <c r="A197" s="1">
        <v>55</v>
      </c>
      <c r="B197" s="1" t="str">
        <f t="shared" si="3"/>
        <v>51-60</v>
      </c>
      <c r="C197" s="1">
        <v>0</v>
      </c>
      <c r="D197" s="1" t="str">
        <f>IF(Table2[[#This Row],[Sex]]=1,"Male", "Female")</f>
        <v>Female</v>
      </c>
      <c r="E197" s="1">
        <v>2</v>
      </c>
      <c r="F197" s="1" t="str">
        <f>IF(Table2[[#This Row],[Chest pain level]]=1, "Typical Angina", IF(Table2[[#This Row],[Chest pain level]]=2, "Atypical Angina", IF(Table2[[#This Row],[Chest pain level]]=3, "Non Anginal Pain", IF(Table2[[#This Row],[Chest pain level]]=4, "Asymptomatic"))))</f>
        <v>Atypical Angina</v>
      </c>
      <c r="G197" s="1">
        <v>135</v>
      </c>
      <c r="H197" s="1" t="str">
        <f>IF(Table2[[#This Row],[BP]]&lt;=120, "Normal",  IF(Table2[[#This Row],[BP]]&lt;=130, "Slightly Elevated", IF(Table2[[#This Row],[BP]]&lt;=140, "High", "Very High")))</f>
        <v>High</v>
      </c>
      <c r="I197" s="1">
        <v>250</v>
      </c>
      <c r="J197" s="1" t="str">
        <f>IF(Table2[[#This Row],[Cholesterol]]&gt;=240, "High", "Normal")</f>
        <v>High</v>
      </c>
      <c r="K197" s="1">
        <v>0</v>
      </c>
      <c r="L197" s="1" t="str">
        <f>IF(Table2[[#This Row],[FBS over 120]]=0, "Normal", "High")</f>
        <v>Normal</v>
      </c>
      <c r="M197" s="1">
        <v>2</v>
      </c>
      <c r="N197" s="1" t="str">
        <f>IF(Table2[[#This Row],[EKG results]]=0, "Normal", "Abnormal")</f>
        <v>Abnormal</v>
      </c>
      <c r="O197" s="1">
        <v>161</v>
      </c>
      <c r="P197" s="1">
        <v>0</v>
      </c>
      <c r="Q197" s="1" t="str">
        <f>IF(Table2[[#This Row],[Exercise angina]]=0, "Normal", "Abnormal")</f>
        <v>Normal</v>
      </c>
      <c r="R197" s="1">
        <v>1.4</v>
      </c>
      <c r="S197" s="1">
        <v>2</v>
      </c>
      <c r="T197" s="1">
        <v>0</v>
      </c>
      <c r="U197" s="1">
        <v>3</v>
      </c>
      <c r="V197"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97" s="1" t="s">
        <v>15</v>
      </c>
    </row>
    <row r="198" spans="1:23" x14ac:dyDescent="0.35">
      <c r="A198" s="1">
        <v>58</v>
      </c>
      <c r="B198" s="1" t="str">
        <f t="shared" si="3"/>
        <v>51-60</v>
      </c>
      <c r="C198" s="1">
        <v>0</v>
      </c>
      <c r="D198" s="1" t="str">
        <f>IF(Table2[[#This Row],[Sex]]=1,"Male", "Female")</f>
        <v>Female</v>
      </c>
      <c r="E198" s="1">
        <v>4</v>
      </c>
      <c r="F198" s="1" t="str">
        <f>IF(Table2[[#This Row],[Chest pain level]]=1, "Typical Angina", IF(Table2[[#This Row],[Chest pain level]]=2, "Atypical Angina", IF(Table2[[#This Row],[Chest pain level]]=3, "Non Anginal Pain", IF(Table2[[#This Row],[Chest pain level]]=4, "Asymptomatic"))))</f>
        <v>Asymptomatic</v>
      </c>
      <c r="G198" s="1">
        <v>100</v>
      </c>
      <c r="H198" s="1" t="str">
        <f>IF(Table2[[#This Row],[BP]]&lt;=120, "Normal",  IF(Table2[[#This Row],[BP]]&lt;=130, "Slightly Elevated", IF(Table2[[#This Row],[BP]]&lt;=140, "High", "Very High")))</f>
        <v>Normal</v>
      </c>
      <c r="I198" s="1">
        <v>248</v>
      </c>
      <c r="J198" s="1" t="str">
        <f>IF(Table2[[#This Row],[Cholesterol]]&gt;=240, "High", "Normal")</f>
        <v>High</v>
      </c>
      <c r="K198" s="1">
        <v>0</v>
      </c>
      <c r="L198" s="1" t="str">
        <f>IF(Table2[[#This Row],[FBS over 120]]=0, "Normal", "High")</f>
        <v>Normal</v>
      </c>
      <c r="M198" s="1">
        <v>2</v>
      </c>
      <c r="N198" s="1" t="str">
        <f>IF(Table2[[#This Row],[EKG results]]=0, "Normal", "Abnormal")</f>
        <v>Abnormal</v>
      </c>
      <c r="O198" s="1">
        <v>122</v>
      </c>
      <c r="P198" s="1">
        <v>0</v>
      </c>
      <c r="Q198" s="1" t="str">
        <f>IF(Table2[[#This Row],[Exercise angina]]=0, "Normal", "Abnormal")</f>
        <v>Normal</v>
      </c>
      <c r="R198" s="1">
        <v>1</v>
      </c>
      <c r="S198" s="1">
        <v>2</v>
      </c>
      <c r="T198" s="1">
        <v>0</v>
      </c>
      <c r="U198" s="1">
        <v>3</v>
      </c>
      <c r="V198"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98" s="1" t="s">
        <v>15</v>
      </c>
    </row>
    <row r="199" spans="1:23" x14ac:dyDescent="0.35">
      <c r="A199" s="1">
        <v>54</v>
      </c>
      <c r="B199" s="1" t="str">
        <f t="shared" si="3"/>
        <v>51-60</v>
      </c>
      <c r="C199" s="1">
        <v>0</v>
      </c>
      <c r="D199" s="1" t="str">
        <f>IF(Table2[[#This Row],[Sex]]=1,"Male", "Female")</f>
        <v>Female</v>
      </c>
      <c r="E199" s="1">
        <v>3</v>
      </c>
      <c r="F199" s="1" t="str">
        <f>IF(Table2[[#This Row],[Chest pain level]]=1, "Typical Angina", IF(Table2[[#This Row],[Chest pain level]]=2, "Atypical Angina", IF(Table2[[#This Row],[Chest pain level]]=3, "Non Anginal Pain", IF(Table2[[#This Row],[Chest pain level]]=4, "Asymptomatic"))))</f>
        <v>Non Anginal Pain</v>
      </c>
      <c r="G199" s="1">
        <v>110</v>
      </c>
      <c r="H199" s="1" t="str">
        <f>IF(Table2[[#This Row],[BP]]&lt;=120, "Normal",  IF(Table2[[#This Row],[BP]]&lt;=130, "Slightly Elevated", IF(Table2[[#This Row],[BP]]&lt;=140, "High", "Very High")))</f>
        <v>Normal</v>
      </c>
      <c r="I199" s="1">
        <v>214</v>
      </c>
      <c r="J199" s="1" t="str">
        <f>IF(Table2[[#This Row],[Cholesterol]]&gt;=240, "High", "Normal")</f>
        <v>Normal</v>
      </c>
      <c r="K199" s="1">
        <v>0</v>
      </c>
      <c r="L199" s="1" t="str">
        <f>IF(Table2[[#This Row],[FBS over 120]]=0, "Normal", "High")</f>
        <v>Normal</v>
      </c>
      <c r="M199" s="1">
        <v>0</v>
      </c>
      <c r="N199" s="1" t="str">
        <f>IF(Table2[[#This Row],[EKG results]]=0, "Normal", "Abnormal")</f>
        <v>Normal</v>
      </c>
      <c r="O199" s="1">
        <v>158</v>
      </c>
      <c r="P199" s="1">
        <v>0</v>
      </c>
      <c r="Q199" s="1" t="str">
        <f>IF(Table2[[#This Row],[Exercise angina]]=0, "Normal", "Abnormal")</f>
        <v>Normal</v>
      </c>
      <c r="R199" s="1">
        <v>1.6</v>
      </c>
      <c r="S199" s="1">
        <v>2</v>
      </c>
      <c r="T199" s="1">
        <v>0</v>
      </c>
      <c r="U199" s="1">
        <v>3</v>
      </c>
      <c r="V199"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199" s="1" t="s">
        <v>15</v>
      </c>
    </row>
    <row r="200" spans="1:23" x14ac:dyDescent="0.35">
      <c r="A200" s="1">
        <v>69</v>
      </c>
      <c r="B200" s="1" t="str">
        <f t="shared" si="3"/>
        <v>61-70</v>
      </c>
      <c r="C200" s="1">
        <v>0</v>
      </c>
      <c r="D200" s="1" t="str">
        <f>IF(Table2[[#This Row],[Sex]]=1,"Male", "Female")</f>
        <v>Female</v>
      </c>
      <c r="E200" s="1">
        <v>1</v>
      </c>
      <c r="F200" s="1" t="str">
        <f>IF(Table2[[#This Row],[Chest pain level]]=1, "Typical Angina", IF(Table2[[#This Row],[Chest pain level]]=2, "Atypical Angina", IF(Table2[[#This Row],[Chest pain level]]=3, "Non Anginal Pain", IF(Table2[[#This Row],[Chest pain level]]=4, "Asymptomatic"))))</f>
        <v>Typical Angina</v>
      </c>
      <c r="G200" s="1">
        <v>140</v>
      </c>
      <c r="H200" s="1" t="str">
        <f>IF(Table2[[#This Row],[BP]]&lt;=120, "Normal",  IF(Table2[[#This Row],[BP]]&lt;=130, "Slightly Elevated", IF(Table2[[#This Row],[BP]]&lt;=140, "High", "Very High")))</f>
        <v>High</v>
      </c>
      <c r="I200" s="1">
        <v>239</v>
      </c>
      <c r="J200" s="1" t="str">
        <f>IF(Table2[[#This Row],[Cholesterol]]&gt;=240, "High", "Normal")</f>
        <v>Normal</v>
      </c>
      <c r="K200" s="1">
        <v>0</v>
      </c>
      <c r="L200" s="1" t="str">
        <f>IF(Table2[[#This Row],[FBS over 120]]=0, "Normal", "High")</f>
        <v>Normal</v>
      </c>
      <c r="M200" s="1">
        <v>0</v>
      </c>
      <c r="N200" s="1" t="str">
        <f>IF(Table2[[#This Row],[EKG results]]=0, "Normal", "Abnormal")</f>
        <v>Normal</v>
      </c>
      <c r="O200" s="1">
        <v>151</v>
      </c>
      <c r="P200" s="1">
        <v>0</v>
      </c>
      <c r="Q200" s="1" t="str">
        <f>IF(Table2[[#This Row],[Exercise angina]]=0, "Normal", "Abnormal")</f>
        <v>Normal</v>
      </c>
      <c r="R200" s="1">
        <v>1.8</v>
      </c>
      <c r="S200" s="1">
        <v>1</v>
      </c>
      <c r="T200" s="1">
        <v>2</v>
      </c>
      <c r="U200" s="1">
        <v>3</v>
      </c>
      <c r="V200"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00" s="1" t="s">
        <v>15</v>
      </c>
    </row>
    <row r="201" spans="1:23" x14ac:dyDescent="0.35">
      <c r="A201" s="1">
        <v>77</v>
      </c>
      <c r="B201" s="1" t="str">
        <f t="shared" si="3"/>
        <v>71-80</v>
      </c>
      <c r="C201" s="1">
        <v>1</v>
      </c>
      <c r="D201" s="1" t="str">
        <f>IF(Table2[[#This Row],[Sex]]=1,"Male", "Female")</f>
        <v>Male</v>
      </c>
      <c r="E201" s="1">
        <v>4</v>
      </c>
      <c r="F201" s="1" t="str">
        <f>IF(Table2[[#This Row],[Chest pain level]]=1, "Typical Angina", IF(Table2[[#This Row],[Chest pain level]]=2, "Atypical Angina", IF(Table2[[#This Row],[Chest pain level]]=3, "Non Anginal Pain", IF(Table2[[#This Row],[Chest pain level]]=4, "Asymptomatic"))))</f>
        <v>Asymptomatic</v>
      </c>
      <c r="G201" s="1">
        <v>125</v>
      </c>
      <c r="H201" s="1" t="str">
        <f>IF(Table2[[#This Row],[BP]]&lt;=120, "Normal",  IF(Table2[[#This Row],[BP]]&lt;=130, "Slightly Elevated", IF(Table2[[#This Row],[BP]]&lt;=140, "High", "Very High")))</f>
        <v>Slightly Elevated</v>
      </c>
      <c r="I201" s="1">
        <v>304</v>
      </c>
      <c r="J201" s="1" t="str">
        <f>IF(Table2[[#This Row],[Cholesterol]]&gt;=240, "High", "Normal")</f>
        <v>High</v>
      </c>
      <c r="K201" s="1">
        <v>0</v>
      </c>
      <c r="L201" s="1" t="str">
        <f>IF(Table2[[#This Row],[FBS over 120]]=0, "Normal", "High")</f>
        <v>Normal</v>
      </c>
      <c r="M201" s="1">
        <v>2</v>
      </c>
      <c r="N201" s="1" t="str">
        <f>IF(Table2[[#This Row],[EKG results]]=0, "Normal", "Abnormal")</f>
        <v>Abnormal</v>
      </c>
      <c r="O201" s="1">
        <v>162</v>
      </c>
      <c r="P201" s="1">
        <v>1</v>
      </c>
      <c r="Q201" s="1" t="str">
        <f>IF(Table2[[#This Row],[Exercise angina]]=0, "Normal", "Abnormal")</f>
        <v>Abnormal</v>
      </c>
      <c r="R201" s="1">
        <v>0</v>
      </c>
      <c r="S201" s="1">
        <v>1</v>
      </c>
      <c r="T201" s="1">
        <v>3</v>
      </c>
      <c r="U201" s="1">
        <v>3</v>
      </c>
      <c r="V201"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01" s="1" t="s">
        <v>14</v>
      </c>
    </row>
    <row r="202" spans="1:23" x14ac:dyDescent="0.35">
      <c r="A202" s="1">
        <v>68</v>
      </c>
      <c r="B202" s="1" t="str">
        <f t="shared" si="3"/>
        <v>61-70</v>
      </c>
      <c r="C202" s="1">
        <v>1</v>
      </c>
      <c r="D202" s="1" t="str">
        <f>IF(Table2[[#This Row],[Sex]]=1,"Male", "Female")</f>
        <v>Male</v>
      </c>
      <c r="E202" s="1">
        <v>3</v>
      </c>
      <c r="F202" s="1" t="str">
        <f>IF(Table2[[#This Row],[Chest pain level]]=1, "Typical Angina", IF(Table2[[#This Row],[Chest pain level]]=2, "Atypical Angina", IF(Table2[[#This Row],[Chest pain level]]=3, "Non Anginal Pain", IF(Table2[[#This Row],[Chest pain level]]=4, "Asymptomatic"))))</f>
        <v>Non Anginal Pain</v>
      </c>
      <c r="G202" s="1">
        <v>118</v>
      </c>
      <c r="H202" s="1" t="str">
        <f>IF(Table2[[#This Row],[BP]]&lt;=120, "Normal",  IF(Table2[[#This Row],[BP]]&lt;=130, "Slightly Elevated", IF(Table2[[#This Row],[BP]]&lt;=140, "High", "Very High")))</f>
        <v>Normal</v>
      </c>
      <c r="I202" s="1">
        <v>277</v>
      </c>
      <c r="J202" s="1" t="str">
        <f>IF(Table2[[#This Row],[Cholesterol]]&gt;=240, "High", "Normal")</f>
        <v>High</v>
      </c>
      <c r="K202" s="1">
        <v>0</v>
      </c>
      <c r="L202" s="1" t="str">
        <f>IF(Table2[[#This Row],[FBS over 120]]=0, "Normal", "High")</f>
        <v>Normal</v>
      </c>
      <c r="M202" s="1">
        <v>0</v>
      </c>
      <c r="N202" s="1" t="str">
        <f>IF(Table2[[#This Row],[EKG results]]=0, "Normal", "Abnormal")</f>
        <v>Normal</v>
      </c>
      <c r="O202" s="1">
        <v>151</v>
      </c>
      <c r="P202" s="1">
        <v>0</v>
      </c>
      <c r="Q202" s="1" t="str">
        <f>IF(Table2[[#This Row],[Exercise angina]]=0, "Normal", "Abnormal")</f>
        <v>Normal</v>
      </c>
      <c r="R202" s="1">
        <v>1</v>
      </c>
      <c r="S202" s="1">
        <v>1</v>
      </c>
      <c r="T202" s="1">
        <v>1</v>
      </c>
      <c r="U202" s="1">
        <v>7</v>
      </c>
      <c r="V202"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02" s="1" t="s">
        <v>15</v>
      </c>
    </row>
    <row r="203" spans="1:23" x14ac:dyDescent="0.35">
      <c r="A203" s="1">
        <v>58</v>
      </c>
      <c r="B203" s="1" t="str">
        <f t="shared" si="3"/>
        <v>51-60</v>
      </c>
      <c r="C203" s="1">
        <v>1</v>
      </c>
      <c r="D203" s="1" t="str">
        <f>IF(Table2[[#This Row],[Sex]]=1,"Male", "Female")</f>
        <v>Male</v>
      </c>
      <c r="E203" s="1">
        <v>4</v>
      </c>
      <c r="F203" s="1" t="str">
        <f>IF(Table2[[#This Row],[Chest pain level]]=1, "Typical Angina", IF(Table2[[#This Row],[Chest pain level]]=2, "Atypical Angina", IF(Table2[[#This Row],[Chest pain level]]=3, "Non Anginal Pain", IF(Table2[[#This Row],[Chest pain level]]=4, "Asymptomatic"))))</f>
        <v>Asymptomatic</v>
      </c>
      <c r="G203" s="1">
        <v>125</v>
      </c>
      <c r="H203" s="1" t="str">
        <f>IF(Table2[[#This Row],[BP]]&lt;=120, "Normal",  IF(Table2[[#This Row],[BP]]&lt;=130, "Slightly Elevated", IF(Table2[[#This Row],[BP]]&lt;=140, "High", "Very High")))</f>
        <v>Slightly Elevated</v>
      </c>
      <c r="I203" s="1">
        <v>300</v>
      </c>
      <c r="J203" s="1" t="str">
        <f>IF(Table2[[#This Row],[Cholesterol]]&gt;=240, "High", "Normal")</f>
        <v>High</v>
      </c>
      <c r="K203" s="1">
        <v>0</v>
      </c>
      <c r="L203" s="1" t="str">
        <f>IF(Table2[[#This Row],[FBS over 120]]=0, "Normal", "High")</f>
        <v>Normal</v>
      </c>
      <c r="M203" s="1">
        <v>2</v>
      </c>
      <c r="N203" s="1" t="str">
        <f>IF(Table2[[#This Row],[EKG results]]=0, "Normal", "Abnormal")</f>
        <v>Abnormal</v>
      </c>
      <c r="O203" s="1">
        <v>171</v>
      </c>
      <c r="P203" s="1">
        <v>0</v>
      </c>
      <c r="Q203" s="1" t="str">
        <f>IF(Table2[[#This Row],[Exercise angina]]=0, "Normal", "Abnormal")</f>
        <v>Normal</v>
      </c>
      <c r="R203" s="1">
        <v>0</v>
      </c>
      <c r="S203" s="1">
        <v>1</v>
      </c>
      <c r="T203" s="1">
        <v>2</v>
      </c>
      <c r="U203" s="1">
        <v>7</v>
      </c>
      <c r="V203"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03" s="1" t="s">
        <v>14</v>
      </c>
    </row>
    <row r="204" spans="1:23" x14ac:dyDescent="0.35">
      <c r="A204" s="1">
        <v>60</v>
      </c>
      <c r="B204" s="1" t="str">
        <f t="shared" si="3"/>
        <v>51-60</v>
      </c>
      <c r="C204" s="1">
        <v>1</v>
      </c>
      <c r="D204" s="1" t="str">
        <f>IF(Table2[[#This Row],[Sex]]=1,"Male", "Female")</f>
        <v>Male</v>
      </c>
      <c r="E204" s="1">
        <v>4</v>
      </c>
      <c r="F204" s="1" t="str">
        <f>IF(Table2[[#This Row],[Chest pain level]]=1, "Typical Angina", IF(Table2[[#This Row],[Chest pain level]]=2, "Atypical Angina", IF(Table2[[#This Row],[Chest pain level]]=3, "Non Anginal Pain", IF(Table2[[#This Row],[Chest pain level]]=4, "Asymptomatic"))))</f>
        <v>Asymptomatic</v>
      </c>
      <c r="G204" s="1">
        <v>125</v>
      </c>
      <c r="H204" s="1" t="str">
        <f>IF(Table2[[#This Row],[BP]]&lt;=120, "Normal",  IF(Table2[[#This Row],[BP]]&lt;=130, "Slightly Elevated", IF(Table2[[#This Row],[BP]]&lt;=140, "High", "Very High")))</f>
        <v>Slightly Elevated</v>
      </c>
      <c r="I204" s="1">
        <v>258</v>
      </c>
      <c r="J204" s="1" t="str">
        <f>IF(Table2[[#This Row],[Cholesterol]]&gt;=240, "High", "Normal")</f>
        <v>High</v>
      </c>
      <c r="K204" s="1">
        <v>0</v>
      </c>
      <c r="L204" s="1" t="str">
        <f>IF(Table2[[#This Row],[FBS over 120]]=0, "Normal", "High")</f>
        <v>Normal</v>
      </c>
      <c r="M204" s="1">
        <v>2</v>
      </c>
      <c r="N204" s="1" t="str">
        <f>IF(Table2[[#This Row],[EKG results]]=0, "Normal", "Abnormal")</f>
        <v>Abnormal</v>
      </c>
      <c r="O204" s="1">
        <v>141</v>
      </c>
      <c r="P204" s="1">
        <v>1</v>
      </c>
      <c r="Q204" s="1" t="str">
        <f>IF(Table2[[#This Row],[Exercise angina]]=0, "Normal", "Abnormal")</f>
        <v>Abnormal</v>
      </c>
      <c r="R204" s="1">
        <v>2.8</v>
      </c>
      <c r="S204" s="1">
        <v>2</v>
      </c>
      <c r="T204" s="1">
        <v>1</v>
      </c>
      <c r="U204" s="1">
        <v>7</v>
      </c>
      <c r="V204"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04" s="1" t="s">
        <v>14</v>
      </c>
    </row>
    <row r="205" spans="1:23" x14ac:dyDescent="0.35">
      <c r="A205" s="1">
        <v>51</v>
      </c>
      <c r="B205" s="1" t="str">
        <f t="shared" si="3"/>
        <v>51-60</v>
      </c>
      <c r="C205" s="1">
        <v>1</v>
      </c>
      <c r="D205" s="1" t="str">
        <f>IF(Table2[[#This Row],[Sex]]=1,"Male", "Female")</f>
        <v>Male</v>
      </c>
      <c r="E205" s="1">
        <v>4</v>
      </c>
      <c r="F205" s="1" t="str">
        <f>IF(Table2[[#This Row],[Chest pain level]]=1, "Typical Angina", IF(Table2[[#This Row],[Chest pain level]]=2, "Atypical Angina", IF(Table2[[#This Row],[Chest pain level]]=3, "Non Anginal Pain", IF(Table2[[#This Row],[Chest pain level]]=4, "Asymptomatic"))))</f>
        <v>Asymptomatic</v>
      </c>
      <c r="G205" s="1">
        <v>140</v>
      </c>
      <c r="H205" s="1" t="str">
        <f>IF(Table2[[#This Row],[BP]]&lt;=120, "Normal",  IF(Table2[[#This Row],[BP]]&lt;=130, "Slightly Elevated", IF(Table2[[#This Row],[BP]]&lt;=140, "High", "Very High")))</f>
        <v>High</v>
      </c>
      <c r="I205" s="1">
        <v>299</v>
      </c>
      <c r="J205" s="1" t="str">
        <f>IF(Table2[[#This Row],[Cholesterol]]&gt;=240, "High", "Normal")</f>
        <v>High</v>
      </c>
      <c r="K205" s="1">
        <v>0</v>
      </c>
      <c r="L205" s="1" t="str">
        <f>IF(Table2[[#This Row],[FBS over 120]]=0, "Normal", "High")</f>
        <v>Normal</v>
      </c>
      <c r="M205" s="1">
        <v>0</v>
      </c>
      <c r="N205" s="1" t="str">
        <f>IF(Table2[[#This Row],[EKG results]]=0, "Normal", "Abnormal")</f>
        <v>Normal</v>
      </c>
      <c r="O205" s="1">
        <v>173</v>
      </c>
      <c r="P205" s="1">
        <v>1</v>
      </c>
      <c r="Q205" s="1" t="str">
        <f>IF(Table2[[#This Row],[Exercise angina]]=0, "Normal", "Abnormal")</f>
        <v>Abnormal</v>
      </c>
      <c r="R205" s="1">
        <v>1.6</v>
      </c>
      <c r="S205" s="1">
        <v>1</v>
      </c>
      <c r="T205" s="1">
        <v>0</v>
      </c>
      <c r="U205" s="1">
        <v>7</v>
      </c>
      <c r="V205"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05" s="1" t="s">
        <v>14</v>
      </c>
    </row>
    <row r="206" spans="1:23" x14ac:dyDescent="0.35">
      <c r="A206" s="1">
        <v>55</v>
      </c>
      <c r="B206" s="1" t="str">
        <f t="shared" si="3"/>
        <v>51-60</v>
      </c>
      <c r="C206" s="1">
        <v>1</v>
      </c>
      <c r="D206" s="1" t="str">
        <f>IF(Table2[[#This Row],[Sex]]=1,"Male", "Female")</f>
        <v>Male</v>
      </c>
      <c r="E206" s="1">
        <v>4</v>
      </c>
      <c r="F206" s="1" t="str">
        <f>IF(Table2[[#This Row],[Chest pain level]]=1, "Typical Angina", IF(Table2[[#This Row],[Chest pain level]]=2, "Atypical Angina", IF(Table2[[#This Row],[Chest pain level]]=3, "Non Anginal Pain", IF(Table2[[#This Row],[Chest pain level]]=4, "Asymptomatic"))))</f>
        <v>Asymptomatic</v>
      </c>
      <c r="G206" s="1">
        <v>160</v>
      </c>
      <c r="H206" s="1" t="str">
        <f>IF(Table2[[#This Row],[BP]]&lt;=120, "Normal",  IF(Table2[[#This Row],[BP]]&lt;=130, "Slightly Elevated", IF(Table2[[#This Row],[BP]]&lt;=140, "High", "Very High")))</f>
        <v>Very High</v>
      </c>
      <c r="I206" s="1">
        <v>289</v>
      </c>
      <c r="J206" s="1" t="str">
        <f>IF(Table2[[#This Row],[Cholesterol]]&gt;=240, "High", "Normal")</f>
        <v>High</v>
      </c>
      <c r="K206" s="1">
        <v>0</v>
      </c>
      <c r="L206" s="1" t="str">
        <f>IF(Table2[[#This Row],[FBS over 120]]=0, "Normal", "High")</f>
        <v>Normal</v>
      </c>
      <c r="M206" s="1">
        <v>2</v>
      </c>
      <c r="N206" s="1" t="str">
        <f>IF(Table2[[#This Row],[EKG results]]=0, "Normal", "Abnormal")</f>
        <v>Abnormal</v>
      </c>
      <c r="O206" s="1">
        <v>145</v>
      </c>
      <c r="P206" s="1">
        <v>1</v>
      </c>
      <c r="Q206" s="1" t="str">
        <f>IF(Table2[[#This Row],[Exercise angina]]=0, "Normal", "Abnormal")</f>
        <v>Abnormal</v>
      </c>
      <c r="R206" s="1">
        <v>0.8</v>
      </c>
      <c r="S206" s="1">
        <v>2</v>
      </c>
      <c r="T206" s="1">
        <v>1</v>
      </c>
      <c r="U206" s="1">
        <v>7</v>
      </c>
      <c r="V206"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06" s="1" t="s">
        <v>14</v>
      </c>
    </row>
    <row r="207" spans="1:23" x14ac:dyDescent="0.35">
      <c r="A207" s="1">
        <v>52</v>
      </c>
      <c r="B207" s="1" t="str">
        <f t="shared" si="3"/>
        <v>51-60</v>
      </c>
      <c r="C207" s="1">
        <v>1</v>
      </c>
      <c r="D207" s="1" t="str">
        <f>IF(Table2[[#This Row],[Sex]]=1,"Male", "Female")</f>
        <v>Male</v>
      </c>
      <c r="E207" s="1">
        <v>1</v>
      </c>
      <c r="F207" s="1" t="str">
        <f>IF(Table2[[#This Row],[Chest pain level]]=1, "Typical Angina", IF(Table2[[#This Row],[Chest pain level]]=2, "Atypical Angina", IF(Table2[[#This Row],[Chest pain level]]=3, "Non Anginal Pain", IF(Table2[[#This Row],[Chest pain level]]=4, "Asymptomatic"))))</f>
        <v>Typical Angina</v>
      </c>
      <c r="G207" s="1">
        <v>152</v>
      </c>
      <c r="H207" s="1" t="str">
        <f>IF(Table2[[#This Row],[BP]]&lt;=120, "Normal",  IF(Table2[[#This Row],[BP]]&lt;=130, "Slightly Elevated", IF(Table2[[#This Row],[BP]]&lt;=140, "High", "Very High")))</f>
        <v>Very High</v>
      </c>
      <c r="I207" s="1">
        <v>298</v>
      </c>
      <c r="J207" s="1" t="str">
        <f>IF(Table2[[#This Row],[Cholesterol]]&gt;=240, "High", "Normal")</f>
        <v>High</v>
      </c>
      <c r="K207" s="1">
        <v>1</v>
      </c>
      <c r="L207" s="1" t="str">
        <f>IF(Table2[[#This Row],[FBS over 120]]=0, "Normal", "High")</f>
        <v>High</v>
      </c>
      <c r="M207" s="1">
        <v>0</v>
      </c>
      <c r="N207" s="1" t="str">
        <f>IF(Table2[[#This Row],[EKG results]]=0, "Normal", "Abnormal")</f>
        <v>Normal</v>
      </c>
      <c r="O207" s="1">
        <v>178</v>
      </c>
      <c r="P207" s="1">
        <v>0</v>
      </c>
      <c r="Q207" s="1" t="str">
        <f>IF(Table2[[#This Row],[Exercise angina]]=0, "Normal", "Abnormal")</f>
        <v>Normal</v>
      </c>
      <c r="R207" s="1">
        <v>1.2</v>
      </c>
      <c r="S207" s="1">
        <v>2</v>
      </c>
      <c r="T207" s="1">
        <v>0</v>
      </c>
      <c r="U207" s="1">
        <v>7</v>
      </c>
      <c r="V207"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07" s="1" t="s">
        <v>15</v>
      </c>
    </row>
    <row r="208" spans="1:23" x14ac:dyDescent="0.35">
      <c r="A208" s="1">
        <v>60</v>
      </c>
      <c r="B208" s="1" t="str">
        <f t="shared" si="3"/>
        <v>51-60</v>
      </c>
      <c r="C208" s="1">
        <v>0</v>
      </c>
      <c r="D208" s="1" t="str">
        <f>IF(Table2[[#This Row],[Sex]]=1,"Male", "Female")</f>
        <v>Female</v>
      </c>
      <c r="E208" s="1">
        <v>3</v>
      </c>
      <c r="F208" s="1" t="str">
        <f>IF(Table2[[#This Row],[Chest pain level]]=1, "Typical Angina", IF(Table2[[#This Row],[Chest pain level]]=2, "Atypical Angina", IF(Table2[[#This Row],[Chest pain level]]=3, "Non Anginal Pain", IF(Table2[[#This Row],[Chest pain level]]=4, "Asymptomatic"))))</f>
        <v>Non Anginal Pain</v>
      </c>
      <c r="G208" s="1">
        <v>102</v>
      </c>
      <c r="H208" s="1" t="str">
        <f>IF(Table2[[#This Row],[BP]]&lt;=120, "Normal",  IF(Table2[[#This Row],[BP]]&lt;=130, "Slightly Elevated", IF(Table2[[#This Row],[BP]]&lt;=140, "High", "Very High")))</f>
        <v>Normal</v>
      </c>
      <c r="I208" s="1">
        <v>318</v>
      </c>
      <c r="J208" s="1" t="str">
        <f>IF(Table2[[#This Row],[Cholesterol]]&gt;=240, "High", "Normal")</f>
        <v>High</v>
      </c>
      <c r="K208" s="1">
        <v>0</v>
      </c>
      <c r="L208" s="1" t="str">
        <f>IF(Table2[[#This Row],[FBS over 120]]=0, "Normal", "High")</f>
        <v>Normal</v>
      </c>
      <c r="M208" s="1">
        <v>0</v>
      </c>
      <c r="N208" s="1" t="str">
        <f>IF(Table2[[#This Row],[EKG results]]=0, "Normal", "Abnormal")</f>
        <v>Normal</v>
      </c>
      <c r="O208" s="1">
        <v>160</v>
      </c>
      <c r="P208" s="1">
        <v>0</v>
      </c>
      <c r="Q208" s="1" t="str">
        <f>IF(Table2[[#This Row],[Exercise angina]]=0, "Normal", "Abnormal")</f>
        <v>Normal</v>
      </c>
      <c r="R208" s="1">
        <v>0</v>
      </c>
      <c r="S208" s="1">
        <v>1</v>
      </c>
      <c r="T208" s="1">
        <v>1</v>
      </c>
      <c r="U208" s="1">
        <v>3</v>
      </c>
      <c r="V208"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08" s="1" t="s">
        <v>15</v>
      </c>
    </row>
    <row r="209" spans="1:23" x14ac:dyDescent="0.35">
      <c r="A209" s="1">
        <v>58</v>
      </c>
      <c r="B209" s="1" t="str">
        <f t="shared" si="3"/>
        <v>51-60</v>
      </c>
      <c r="C209" s="1">
        <v>1</v>
      </c>
      <c r="D209" s="1" t="str">
        <f>IF(Table2[[#This Row],[Sex]]=1,"Male", "Female")</f>
        <v>Male</v>
      </c>
      <c r="E209" s="1">
        <v>3</v>
      </c>
      <c r="F209" s="1" t="str">
        <f>IF(Table2[[#This Row],[Chest pain level]]=1, "Typical Angina", IF(Table2[[#This Row],[Chest pain level]]=2, "Atypical Angina", IF(Table2[[#This Row],[Chest pain level]]=3, "Non Anginal Pain", IF(Table2[[#This Row],[Chest pain level]]=4, "Asymptomatic"))))</f>
        <v>Non Anginal Pain</v>
      </c>
      <c r="G209" s="1">
        <v>105</v>
      </c>
      <c r="H209" s="1" t="str">
        <f>IF(Table2[[#This Row],[BP]]&lt;=120, "Normal",  IF(Table2[[#This Row],[BP]]&lt;=130, "Slightly Elevated", IF(Table2[[#This Row],[BP]]&lt;=140, "High", "Very High")))</f>
        <v>Normal</v>
      </c>
      <c r="I209" s="1">
        <v>240</v>
      </c>
      <c r="J209" s="1" t="str">
        <f>IF(Table2[[#This Row],[Cholesterol]]&gt;=240, "High", "Normal")</f>
        <v>High</v>
      </c>
      <c r="K209" s="1">
        <v>0</v>
      </c>
      <c r="L209" s="1" t="str">
        <f>IF(Table2[[#This Row],[FBS over 120]]=0, "Normal", "High")</f>
        <v>Normal</v>
      </c>
      <c r="M209" s="1">
        <v>2</v>
      </c>
      <c r="N209" s="1" t="str">
        <f>IF(Table2[[#This Row],[EKG results]]=0, "Normal", "Abnormal")</f>
        <v>Abnormal</v>
      </c>
      <c r="O209" s="1">
        <v>154</v>
      </c>
      <c r="P209" s="1">
        <v>1</v>
      </c>
      <c r="Q209" s="1" t="str">
        <f>IF(Table2[[#This Row],[Exercise angina]]=0, "Normal", "Abnormal")</f>
        <v>Abnormal</v>
      </c>
      <c r="R209" s="1">
        <v>0.6</v>
      </c>
      <c r="S209" s="1">
        <v>2</v>
      </c>
      <c r="T209" s="1">
        <v>0</v>
      </c>
      <c r="U209" s="1">
        <v>7</v>
      </c>
      <c r="V209"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09" s="1" t="s">
        <v>15</v>
      </c>
    </row>
    <row r="210" spans="1:23" x14ac:dyDescent="0.35">
      <c r="A210" s="1">
        <v>64</v>
      </c>
      <c r="B210" s="1" t="str">
        <f t="shared" si="3"/>
        <v>61-70</v>
      </c>
      <c r="C210" s="1">
        <v>1</v>
      </c>
      <c r="D210" s="1" t="str">
        <f>IF(Table2[[#This Row],[Sex]]=1,"Male", "Female")</f>
        <v>Male</v>
      </c>
      <c r="E210" s="1">
        <v>3</v>
      </c>
      <c r="F210" s="1" t="str">
        <f>IF(Table2[[#This Row],[Chest pain level]]=1, "Typical Angina", IF(Table2[[#This Row],[Chest pain level]]=2, "Atypical Angina", IF(Table2[[#This Row],[Chest pain level]]=3, "Non Anginal Pain", IF(Table2[[#This Row],[Chest pain level]]=4, "Asymptomatic"))))</f>
        <v>Non Anginal Pain</v>
      </c>
      <c r="G210" s="1">
        <v>125</v>
      </c>
      <c r="H210" s="1" t="str">
        <f>IF(Table2[[#This Row],[BP]]&lt;=120, "Normal",  IF(Table2[[#This Row],[BP]]&lt;=130, "Slightly Elevated", IF(Table2[[#This Row],[BP]]&lt;=140, "High", "Very High")))</f>
        <v>Slightly Elevated</v>
      </c>
      <c r="I210" s="1">
        <v>309</v>
      </c>
      <c r="J210" s="1" t="str">
        <f>IF(Table2[[#This Row],[Cholesterol]]&gt;=240, "High", "Normal")</f>
        <v>High</v>
      </c>
      <c r="K210" s="1">
        <v>0</v>
      </c>
      <c r="L210" s="1" t="str">
        <f>IF(Table2[[#This Row],[FBS over 120]]=0, "Normal", "High")</f>
        <v>Normal</v>
      </c>
      <c r="M210" s="1">
        <v>0</v>
      </c>
      <c r="N210" s="1" t="str">
        <f>IF(Table2[[#This Row],[EKG results]]=0, "Normal", "Abnormal")</f>
        <v>Normal</v>
      </c>
      <c r="O210" s="1">
        <v>131</v>
      </c>
      <c r="P210" s="1">
        <v>1</v>
      </c>
      <c r="Q210" s="1" t="str">
        <f>IF(Table2[[#This Row],[Exercise angina]]=0, "Normal", "Abnormal")</f>
        <v>Abnormal</v>
      </c>
      <c r="R210" s="1">
        <v>1.8</v>
      </c>
      <c r="S210" s="1">
        <v>2</v>
      </c>
      <c r="T210" s="1">
        <v>0</v>
      </c>
      <c r="U210" s="1">
        <v>7</v>
      </c>
      <c r="V210"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10" s="1" t="s">
        <v>14</v>
      </c>
    </row>
    <row r="211" spans="1:23" x14ac:dyDescent="0.35">
      <c r="A211" s="1">
        <v>37</v>
      </c>
      <c r="B211" s="1" t="str">
        <f t="shared" si="3"/>
        <v>31-40</v>
      </c>
      <c r="C211" s="1">
        <v>1</v>
      </c>
      <c r="D211" s="1" t="str">
        <f>IF(Table2[[#This Row],[Sex]]=1,"Male", "Female")</f>
        <v>Male</v>
      </c>
      <c r="E211" s="1">
        <v>3</v>
      </c>
      <c r="F211" s="1" t="str">
        <f>IF(Table2[[#This Row],[Chest pain level]]=1, "Typical Angina", IF(Table2[[#This Row],[Chest pain level]]=2, "Atypical Angina", IF(Table2[[#This Row],[Chest pain level]]=3, "Non Anginal Pain", IF(Table2[[#This Row],[Chest pain level]]=4, "Asymptomatic"))))</f>
        <v>Non Anginal Pain</v>
      </c>
      <c r="G211" s="1">
        <v>130</v>
      </c>
      <c r="H211" s="1" t="str">
        <f>IF(Table2[[#This Row],[BP]]&lt;=120, "Normal",  IF(Table2[[#This Row],[BP]]&lt;=130, "Slightly Elevated", IF(Table2[[#This Row],[BP]]&lt;=140, "High", "Very High")))</f>
        <v>Slightly Elevated</v>
      </c>
      <c r="I211" s="1">
        <v>250</v>
      </c>
      <c r="J211" s="1" t="str">
        <f>IF(Table2[[#This Row],[Cholesterol]]&gt;=240, "High", "Normal")</f>
        <v>High</v>
      </c>
      <c r="K211" s="1">
        <v>0</v>
      </c>
      <c r="L211" s="1" t="str">
        <f>IF(Table2[[#This Row],[FBS over 120]]=0, "Normal", "High")</f>
        <v>Normal</v>
      </c>
      <c r="M211" s="1">
        <v>0</v>
      </c>
      <c r="N211" s="1" t="str">
        <f>IF(Table2[[#This Row],[EKG results]]=0, "Normal", "Abnormal")</f>
        <v>Normal</v>
      </c>
      <c r="O211" s="1">
        <v>187</v>
      </c>
      <c r="P211" s="1">
        <v>0</v>
      </c>
      <c r="Q211" s="1" t="str">
        <f>IF(Table2[[#This Row],[Exercise angina]]=0, "Normal", "Abnormal")</f>
        <v>Normal</v>
      </c>
      <c r="R211" s="1">
        <v>3.5</v>
      </c>
      <c r="S211" s="1">
        <v>3</v>
      </c>
      <c r="T211" s="1">
        <v>0</v>
      </c>
      <c r="U211" s="1">
        <v>3</v>
      </c>
      <c r="V211"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11" s="1" t="s">
        <v>15</v>
      </c>
    </row>
    <row r="212" spans="1:23" x14ac:dyDescent="0.35">
      <c r="A212" s="1">
        <v>59</v>
      </c>
      <c r="B212" s="1" t="str">
        <f t="shared" si="3"/>
        <v>51-60</v>
      </c>
      <c r="C212" s="1">
        <v>1</v>
      </c>
      <c r="D212" s="1" t="str">
        <f>IF(Table2[[#This Row],[Sex]]=1,"Male", "Female")</f>
        <v>Male</v>
      </c>
      <c r="E212" s="1">
        <v>1</v>
      </c>
      <c r="F212" s="1" t="str">
        <f>IF(Table2[[#This Row],[Chest pain level]]=1, "Typical Angina", IF(Table2[[#This Row],[Chest pain level]]=2, "Atypical Angina", IF(Table2[[#This Row],[Chest pain level]]=3, "Non Anginal Pain", IF(Table2[[#This Row],[Chest pain level]]=4, "Asymptomatic"))))</f>
        <v>Typical Angina</v>
      </c>
      <c r="G212" s="1">
        <v>170</v>
      </c>
      <c r="H212" s="1" t="str">
        <f>IF(Table2[[#This Row],[BP]]&lt;=120, "Normal",  IF(Table2[[#This Row],[BP]]&lt;=130, "Slightly Elevated", IF(Table2[[#This Row],[BP]]&lt;=140, "High", "Very High")))</f>
        <v>Very High</v>
      </c>
      <c r="I212" s="1">
        <v>288</v>
      </c>
      <c r="J212" s="1" t="str">
        <f>IF(Table2[[#This Row],[Cholesterol]]&gt;=240, "High", "Normal")</f>
        <v>High</v>
      </c>
      <c r="K212" s="1">
        <v>0</v>
      </c>
      <c r="L212" s="1" t="str">
        <f>IF(Table2[[#This Row],[FBS over 120]]=0, "Normal", "High")</f>
        <v>Normal</v>
      </c>
      <c r="M212" s="1">
        <v>2</v>
      </c>
      <c r="N212" s="1" t="str">
        <f>IF(Table2[[#This Row],[EKG results]]=0, "Normal", "Abnormal")</f>
        <v>Abnormal</v>
      </c>
      <c r="O212" s="1">
        <v>159</v>
      </c>
      <c r="P212" s="1">
        <v>0</v>
      </c>
      <c r="Q212" s="1" t="str">
        <f>IF(Table2[[#This Row],[Exercise angina]]=0, "Normal", "Abnormal")</f>
        <v>Normal</v>
      </c>
      <c r="R212" s="1">
        <v>0.2</v>
      </c>
      <c r="S212" s="1">
        <v>2</v>
      </c>
      <c r="T212" s="1">
        <v>0</v>
      </c>
      <c r="U212" s="1">
        <v>7</v>
      </c>
      <c r="V212"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12" s="1" t="s">
        <v>14</v>
      </c>
    </row>
    <row r="213" spans="1:23" x14ac:dyDescent="0.35">
      <c r="A213" s="1">
        <v>51</v>
      </c>
      <c r="B213" s="1" t="str">
        <f t="shared" si="3"/>
        <v>51-60</v>
      </c>
      <c r="C213" s="1">
        <v>1</v>
      </c>
      <c r="D213" s="1" t="str">
        <f>IF(Table2[[#This Row],[Sex]]=1,"Male", "Female")</f>
        <v>Male</v>
      </c>
      <c r="E213" s="1">
        <v>3</v>
      </c>
      <c r="F213" s="1" t="str">
        <f>IF(Table2[[#This Row],[Chest pain level]]=1, "Typical Angina", IF(Table2[[#This Row],[Chest pain level]]=2, "Atypical Angina", IF(Table2[[#This Row],[Chest pain level]]=3, "Non Anginal Pain", IF(Table2[[#This Row],[Chest pain level]]=4, "Asymptomatic"))))</f>
        <v>Non Anginal Pain</v>
      </c>
      <c r="G213" s="1">
        <v>125</v>
      </c>
      <c r="H213" s="1" t="str">
        <f>IF(Table2[[#This Row],[BP]]&lt;=120, "Normal",  IF(Table2[[#This Row],[BP]]&lt;=130, "Slightly Elevated", IF(Table2[[#This Row],[BP]]&lt;=140, "High", "Very High")))</f>
        <v>Slightly Elevated</v>
      </c>
      <c r="I213" s="1">
        <v>245</v>
      </c>
      <c r="J213" s="1" t="str">
        <f>IF(Table2[[#This Row],[Cholesterol]]&gt;=240, "High", "Normal")</f>
        <v>High</v>
      </c>
      <c r="K213" s="1">
        <v>1</v>
      </c>
      <c r="L213" s="1" t="str">
        <f>IF(Table2[[#This Row],[FBS over 120]]=0, "Normal", "High")</f>
        <v>High</v>
      </c>
      <c r="M213" s="1">
        <v>2</v>
      </c>
      <c r="N213" s="1" t="str">
        <f>IF(Table2[[#This Row],[EKG results]]=0, "Normal", "Abnormal")</f>
        <v>Abnormal</v>
      </c>
      <c r="O213" s="1">
        <v>166</v>
      </c>
      <c r="P213" s="1">
        <v>0</v>
      </c>
      <c r="Q213" s="1" t="str">
        <f>IF(Table2[[#This Row],[Exercise angina]]=0, "Normal", "Abnormal")</f>
        <v>Normal</v>
      </c>
      <c r="R213" s="1">
        <v>2.4</v>
      </c>
      <c r="S213" s="1">
        <v>2</v>
      </c>
      <c r="T213" s="1">
        <v>0</v>
      </c>
      <c r="U213" s="1">
        <v>3</v>
      </c>
      <c r="V213"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13" s="1" t="s">
        <v>15</v>
      </c>
    </row>
    <row r="214" spans="1:23" x14ac:dyDescent="0.35">
      <c r="A214" s="1">
        <v>43</v>
      </c>
      <c r="B214" s="1" t="str">
        <f t="shared" si="3"/>
        <v>41-50</v>
      </c>
      <c r="C214" s="1">
        <v>0</v>
      </c>
      <c r="D214" s="1" t="str">
        <f>IF(Table2[[#This Row],[Sex]]=1,"Male", "Female")</f>
        <v>Female</v>
      </c>
      <c r="E214" s="1">
        <v>3</v>
      </c>
      <c r="F214" s="1" t="str">
        <f>IF(Table2[[#This Row],[Chest pain level]]=1, "Typical Angina", IF(Table2[[#This Row],[Chest pain level]]=2, "Atypical Angina", IF(Table2[[#This Row],[Chest pain level]]=3, "Non Anginal Pain", IF(Table2[[#This Row],[Chest pain level]]=4, "Asymptomatic"))))</f>
        <v>Non Anginal Pain</v>
      </c>
      <c r="G214" s="1">
        <v>122</v>
      </c>
      <c r="H214" s="1" t="str">
        <f>IF(Table2[[#This Row],[BP]]&lt;=120, "Normal",  IF(Table2[[#This Row],[BP]]&lt;=130, "Slightly Elevated", IF(Table2[[#This Row],[BP]]&lt;=140, "High", "Very High")))</f>
        <v>Slightly Elevated</v>
      </c>
      <c r="I214" s="1">
        <v>213</v>
      </c>
      <c r="J214" s="1" t="str">
        <f>IF(Table2[[#This Row],[Cholesterol]]&gt;=240, "High", "Normal")</f>
        <v>Normal</v>
      </c>
      <c r="K214" s="1">
        <v>0</v>
      </c>
      <c r="L214" s="1" t="str">
        <f>IF(Table2[[#This Row],[FBS over 120]]=0, "Normal", "High")</f>
        <v>Normal</v>
      </c>
      <c r="M214" s="1">
        <v>0</v>
      </c>
      <c r="N214" s="1" t="str">
        <f>IF(Table2[[#This Row],[EKG results]]=0, "Normal", "Abnormal")</f>
        <v>Normal</v>
      </c>
      <c r="O214" s="1">
        <v>165</v>
      </c>
      <c r="P214" s="1">
        <v>0</v>
      </c>
      <c r="Q214" s="1" t="str">
        <f>IF(Table2[[#This Row],[Exercise angina]]=0, "Normal", "Abnormal")</f>
        <v>Normal</v>
      </c>
      <c r="R214" s="1">
        <v>0.2</v>
      </c>
      <c r="S214" s="1">
        <v>2</v>
      </c>
      <c r="T214" s="1">
        <v>0</v>
      </c>
      <c r="U214" s="1">
        <v>3</v>
      </c>
      <c r="V214"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14" s="1" t="s">
        <v>15</v>
      </c>
    </row>
    <row r="215" spans="1:23" x14ac:dyDescent="0.35">
      <c r="A215" s="1">
        <v>58</v>
      </c>
      <c r="B215" s="1" t="str">
        <f t="shared" si="3"/>
        <v>51-60</v>
      </c>
      <c r="C215" s="1">
        <v>1</v>
      </c>
      <c r="D215" s="1" t="str">
        <f>IF(Table2[[#This Row],[Sex]]=1,"Male", "Female")</f>
        <v>Male</v>
      </c>
      <c r="E215" s="1">
        <v>4</v>
      </c>
      <c r="F215" s="1" t="str">
        <f>IF(Table2[[#This Row],[Chest pain level]]=1, "Typical Angina", IF(Table2[[#This Row],[Chest pain level]]=2, "Atypical Angina", IF(Table2[[#This Row],[Chest pain level]]=3, "Non Anginal Pain", IF(Table2[[#This Row],[Chest pain level]]=4, "Asymptomatic"))))</f>
        <v>Asymptomatic</v>
      </c>
      <c r="G215" s="1">
        <v>128</v>
      </c>
      <c r="H215" s="1" t="str">
        <f>IF(Table2[[#This Row],[BP]]&lt;=120, "Normal",  IF(Table2[[#This Row],[BP]]&lt;=130, "Slightly Elevated", IF(Table2[[#This Row],[BP]]&lt;=140, "High", "Very High")))</f>
        <v>Slightly Elevated</v>
      </c>
      <c r="I215" s="1">
        <v>216</v>
      </c>
      <c r="J215" s="1" t="str">
        <f>IF(Table2[[#This Row],[Cholesterol]]&gt;=240, "High", "Normal")</f>
        <v>Normal</v>
      </c>
      <c r="K215" s="1">
        <v>0</v>
      </c>
      <c r="L215" s="1" t="str">
        <f>IF(Table2[[#This Row],[FBS over 120]]=0, "Normal", "High")</f>
        <v>Normal</v>
      </c>
      <c r="M215" s="1">
        <v>2</v>
      </c>
      <c r="N215" s="1" t="str">
        <f>IF(Table2[[#This Row],[EKG results]]=0, "Normal", "Abnormal")</f>
        <v>Abnormal</v>
      </c>
      <c r="O215" s="1">
        <v>131</v>
      </c>
      <c r="P215" s="1">
        <v>1</v>
      </c>
      <c r="Q215" s="1" t="str">
        <f>IF(Table2[[#This Row],[Exercise angina]]=0, "Normal", "Abnormal")</f>
        <v>Abnormal</v>
      </c>
      <c r="R215" s="1">
        <v>2.2000000000000002</v>
      </c>
      <c r="S215" s="1">
        <v>2</v>
      </c>
      <c r="T215" s="1">
        <v>3</v>
      </c>
      <c r="U215" s="1">
        <v>7</v>
      </c>
      <c r="V215"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15" s="1" t="s">
        <v>14</v>
      </c>
    </row>
    <row r="216" spans="1:23" x14ac:dyDescent="0.35">
      <c r="A216" s="1">
        <v>29</v>
      </c>
      <c r="B216" s="1" t="str">
        <f t="shared" si="3"/>
        <v>Under 30</v>
      </c>
      <c r="C216" s="1">
        <v>1</v>
      </c>
      <c r="D216" s="1" t="str">
        <f>IF(Table2[[#This Row],[Sex]]=1,"Male", "Female")</f>
        <v>Male</v>
      </c>
      <c r="E216" s="1">
        <v>2</v>
      </c>
      <c r="F216" s="1" t="str">
        <f>IF(Table2[[#This Row],[Chest pain level]]=1, "Typical Angina", IF(Table2[[#This Row],[Chest pain level]]=2, "Atypical Angina", IF(Table2[[#This Row],[Chest pain level]]=3, "Non Anginal Pain", IF(Table2[[#This Row],[Chest pain level]]=4, "Asymptomatic"))))</f>
        <v>Atypical Angina</v>
      </c>
      <c r="G216" s="1">
        <v>130</v>
      </c>
      <c r="H216" s="1" t="str">
        <f>IF(Table2[[#This Row],[BP]]&lt;=120, "Normal",  IF(Table2[[#This Row],[BP]]&lt;=130, "Slightly Elevated", IF(Table2[[#This Row],[BP]]&lt;=140, "High", "Very High")))</f>
        <v>Slightly Elevated</v>
      </c>
      <c r="I216" s="1">
        <v>204</v>
      </c>
      <c r="J216" s="1" t="str">
        <f>IF(Table2[[#This Row],[Cholesterol]]&gt;=240, "High", "Normal")</f>
        <v>Normal</v>
      </c>
      <c r="K216" s="1">
        <v>0</v>
      </c>
      <c r="L216" s="1" t="str">
        <f>IF(Table2[[#This Row],[FBS over 120]]=0, "Normal", "High")</f>
        <v>Normal</v>
      </c>
      <c r="M216" s="1">
        <v>2</v>
      </c>
      <c r="N216" s="1" t="str">
        <f>IF(Table2[[#This Row],[EKG results]]=0, "Normal", "Abnormal")</f>
        <v>Abnormal</v>
      </c>
      <c r="O216" s="1">
        <v>202</v>
      </c>
      <c r="P216" s="1">
        <v>0</v>
      </c>
      <c r="Q216" s="1" t="str">
        <f>IF(Table2[[#This Row],[Exercise angina]]=0, "Normal", "Abnormal")</f>
        <v>Normal</v>
      </c>
      <c r="R216" s="1">
        <v>0</v>
      </c>
      <c r="S216" s="1">
        <v>1</v>
      </c>
      <c r="T216" s="1">
        <v>0</v>
      </c>
      <c r="U216" s="1">
        <v>3</v>
      </c>
      <c r="V216"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16" s="1" t="s">
        <v>15</v>
      </c>
    </row>
    <row r="217" spans="1:23" x14ac:dyDescent="0.35">
      <c r="A217" s="1">
        <v>41</v>
      </c>
      <c r="B217" s="1" t="str">
        <f t="shared" si="3"/>
        <v>41-50</v>
      </c>
      <c r="C217" s="1">
        <v>0</v>
      </c>
      <c r="D217" s="1" t="str">
        <f>IF(Table2[[#This Row],[Sex]]=1,"Male", "Female")</f>
        <v>Female</v>
      </c>
      <c r="E217" s="1">
        <v>2</v>
      </c>
      <c r="F217" s="1" t="str">
        <f>IF(Table2[[#This Row],[Chest pain level]]=1, "Typical Angina", IF(Table2[[#This Row],[Chest pain level]]=2, "Atypical Angina", IF(Table2[[#This Row],[Chest pain level]]=3, "Non Anginal Pain", IF(Table2[[#This Row],[Chest pain level]]=4, "Asymptomatic"))))</f>
        <v>Atypical Angina</v>
      </c>
      <c r="G217" s="1">
        <v>130</v>
      </c>
      <c r="H217" s="1" t="str">
        <f>IF(Table2[[#This Row],[BP]]&lt;=120, "Normal",  IF(Table2[[#This Row],[BP]]&lt;=130, "Slightly Elevated", IF(Table2[[#This Row],[BP]]&lt;=140, "High", "Very High")))</f>
        <v>Slightly Elevated</v>
      </c>
      <c r="I217" s="1">
        <v>204</v>
      </c>
      <c r="J217" s="1" t="str">
        <f>IF(Table2[[#This Row],[Cholesterol]]&gt;=240, "High", "Normal")</f>
        <v>Normal</v>
      </c>
      <c r="K217" s="1">
        <v>0</v>
      </c>
      <c r="L217" s="1" t="str">
        <f>IF(Table2[[#This Row],[FBS over 120]]=0, "Normal", "High")</f>
        <v>Normal</v>
      </c>
      <c r="M217" s="1">
        <v>2</v>
      </c>
      <c r="N217" s="1" t="str">
        <f>IF(Table2[[#This Row],[EKG results]]=0, "Normal", "Abnormal")</f>
        <v>Abnormal</v>
      </c>
      <c r="O217" s="1">
        <v>172</v>
      </c>
      <c r="P217" s="1">
        <v>0</v>
      </c>
      <c r="Q217" s="1" t="str">
        <f>IF(Table2[[#This Row],[Exercise angina]]=0, "Normal", "Abnormal")</f>
        <v>Normal</v>
      </c>
      <c r="R217" s="1">
        <v>1.4</v>
      </c>
      <c r="S217" s="1">
        <v>1</v>
      </c>
      <c r="T217" s="1">
        <v>0</v>
      </c>
      <c r="U217" s="1">
        <v>3</v>
      </c>
      <c r="V217"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17" s="1" t="s">
        <v>15</v>
      </c>
    </row>
    <row r="218" spans="1:23" x14ac:dyDescent="0.35">
      <c r="A218" s="1">
        <v>63</v>
      </c>
      <c r="B218" s="1" t="str">
        <f t="shared" si="3"/>
        <v>61-70</v>
      </c>
      <c r="C218" s="1">
        <v>0</v>
      </c>
      <c r="D218" s="1" t="str">
        <f>IF(Table2[[#This Row],[Sex]]=1,"Male", "Female")</f>
        <v>Female</v>
      </c>
      <c r="E218" s="1">
        <v>3</v>
      </c>
      <c r="F218" s="1" t="str">
        <f>IF(Table2[[#This Row],[Chest pain level]]=1, "Typical Angina", IF(Table2[[#This Row],[Chest pain level]]=2, "Atypical Angina", IF(Table2[[#This Row],[Chest pain level]]=3, "Non Anginal Pain", IF(Table2[[#This Row],[Chest pain level]]=4, "Asymptomatic"))))</f>
        <v>Non Anginal Pain</v>
      </c>
      <c r="G218" s="1">
        <v>135</v>
      </c>
      <c r="H218" s="1" t="str">
        <f>IF(Table2[[#This Row],[BP]]&lt;=120, "Normal",  IF(Table2[[#This Row],[BP]]&lt;=130, "Slightly Elevated", IF(Table2[[#This Row],[BP]]&lt;=140, "High", "Very High")))</f>
        <v>High</v>
      </c>
      <c r="I218" s="1">
        <v>252</v>
      </c>
      <c r="J218" s="1" t="str">
        <f>IF(Table2[[#This Row],[Cholesterol]]&gt;=240, "High", "Normal")</f>
        <v>High</v>
      </c>
      <c r="K218" s="1">
        <v>0</v>
      </c>
      <c r="L218" s="1" t="str">
        <f>IF(Table2[[#This Row],[FBS over 120]]=0, "Normal", "High")</f>
        <v>Normal</v>
      </c>
      <c r="M218" s="1">
        <v>2</v>
      </c>
      <c r="N218" s="1" t="str">
        <f>IF(Table2[[#This Row],[EKG results]]=0, "Normal", "Abnormal")</f>
        <v>Abnormal</v>
      </c>
      <c r="O218" s="1">
        <v>172</v>
      </c>
      <c r="P218" s="1">
        <v>0</v>
      </c>
      <c r="Q218" s="1" t="str">
        <f>IF(Table2[[#This Row],[Exercise angina]]=0, "Normal", "Abnormal")</f>
        <v>Normal</v>
      </c>
      <c r="R218" s="1">
        <v>0</v>
      </c>
      <c r="S218" s="1">
        <v>1</v>
      </c>
      <c r="T218" s="1">
        <v>0</v>
      </c>
      <c r="U218" s="1">
        <v>3</v>
      </c>
      <c r="V218"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18" s="1" t="s">
        <v>15</v>
      </c>
    </row>
    <row r="219" spans="1:23" x14ac:dyDescent="0.35">
      <c r="A219" s="1">
        <v>51</v>
      </c>
      <c r="B219" s="1" t="str">
        <f t="shared" si="3"/>
        <v>51-60</v>
      </c>
      <c r="C219" s="1">
        <v>1</v>
      </c>
      <c r="D219" s="1" t="str">
        <f>IF(Table2[[#This Row],[Sex]]=1,"Male", "Female")</f>
        <v>Male</v>
      </c>
      <c r="E219" s="1">
        <v>3</v>
      </c>
      <c r="F219" s="1" t="str">
        <f>IF(Table2[[#This Row],[Chest pain level]]=1, "Typical Angina", IF(Table2[[#This Row],[Chest pain level]]=2, "Atypical Angina", IF(Table2[[#This Row],[Chest pain level]]=3, "Non Anginal Pain", IF(Table2[[#This Row],[Chest pain level]]=4, "Asymptomatic"))))</f>
        <v>Non Anginal Pain</v>
      </c>
      <c r="G219" s="1">
        <v>94</v>
      </c>
      <c r="H219" s="1" t="str">
        <f>IF(Table2[[#This Row],[BP]]&lt;=120, "Normal",  IF(Table2[[#This Row],[BP]]&lt;=130, "Slightly Elevated", IF(Table2[[#This Row],[BP]]&lt;=140, "High", "Very High")))</f>
        <v>Normal</v>
      </c>
      <c r="I219" s="1">
        <v>227</v>
      </c>
      <c r="J219" s="1" t="str">
        <f>IF(Table2[[#This Row],[Cholesterol]]&gt;=240, "High", "Normal")</f>
        <v>Normal</v>
      </c>
      <c r="K219" s="1">
        <v>0</v>
      </c>
      <c r="L219" s="1" t="str">
        <f>IF(Table2[[#This Row],[FBS over 120]]=0, "Normal", "High")</f>
        <v>Normal</v>
      </c>
      <c r="M219" s="1">
        <v>0</v>
      </c>
      <c r="N219" s="1" t="str">
        <f>IF(Table2[[#This Row],[EKG results]]=0, "Normal", "Abnormal")</f>
        <v>Normal</v>
      </c>
      <c r="O219" s="1">
        <v>154</v>
      </c>
      <c r="P219" s="1">
        <v>1</v>
      </c>
      <c r="Q219" s="1" t="str">
        <f>IF(Table2[[#This Row],[Exercise angina]]=0, "Normal", "Abnormal")</f>
        <v>Abnormal</v>
      </c>
      <c r="R219" s="1">
        <v>0</v>
      </c>
      <c r="S219" s="1">
        <v>1</v>
      </c>
      <c r="T219" s="1">
        <v>1</v>
      </c>
      <c r="U219" s="1">
        <v>7</v>
      </c>
      <c r="V219"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19" s="1" t="s">
        <v>15</v>
      </c>
    </row>
    <row r="220" spans="1:23" x14ac:dyDescent="0.35">
      <c r="A220" s="1">
        <v>54</v>
      </c>
      <c r="B220" s="1" t="str">
        <f t="shared" si="3"/>
        <v>51-60</v>
      </c>
      <c r="C220" s="1">
        <v>1</v>
      </c>
      <c r="D220" s="1" t="str">
        <f>IF(Table2[[#This Row],[Sex]]=1,"Male", "Female")</f>
        <v>Male</v>
      </c>
      <c r="E220" s="1">
        <v>3</v>
      </c>
      <c r="F220" s="1" t="str">
        <f>IF(Table2[[#This Row],[Chest pain level]]=1, "Typical Angina", IF(Table2[[#This Row],[Chest pain level]]=2, "Atypical Angina", IF(Table2[[#This Row],[Chest pain level]]=3, "Non Anginal Pain", IF(Table2[[#This Row],[Chest pain level]]=4, "Asymptomatic"))))</f>
        <v>Non Anginal Pain</v>
      </c>
      <c r="G220" s="1">
        <v>120</v>
      </c>
      <c r="H220" s="1" t="str">
        <f>IF(Table2[[#This Row],[BP]]&lt;=120, "Normal",  IF(Table2[[#This Row],[BP]]&lt;=130, "Slightly Elevated", IF(Table2[[#This Row],[BP]]&lt;=140, "High", "Very High")))</f>
        <v>Normal</v>
      </c>
      <c r="I220" s="1">
        <v>258</v>
      </c>
      <c r="J220" s="1" t="str">
        <f>IF(Table2[[#This Row],[Cholesterol]]&gt;=240, "High", "Normal")</f>
        <v>High</v>
      </c>
      <c r="K220" s="1">
        <v>0</v>
      </c>
      <c r="L220" s="1" t="str">
        <f>IF(Table2[[#This Row],[FBS over 120]]=0, "Normal", "High")</f>
        <v>Normal</v>
      </c>
      <c r="M220" s="1">
        <v>2</v>
      </c>
      <c r="N220" s="1" t="str">
        <f>IF(Table2[[#This Row],[EKG results]]=0, "Normal", "Abnormal")</f>
        <v>Abnormal</v>
      </c>
      <c r="O220" s="1">
        <v>147</v>
      </c>
      <c r="P220" s="1">
        <v>0</v>
      </c>
      <c r="Q220" s="1" t="str">
        <f>IF(Table2[[#This Row],[Exercise angina]]=0, "Normal", "Abnormal")</f>
        <v>Normal</v>
      </c>
      <c r="R220" s="1">
        <v>0.4</v>
      </c>
      <c r="S220" s="1">
        <v>2</v>
      </c>
      <c r="T220" s="1">
        <v>0</v>
      </c>
      <c r="U220" s="1">
        <v>7</v>
      </c>
      <c r="V220"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20" s="1" t="s">
        <v>15</v>
      </c>
    </row>
    <row r="221" spans="1:23" x14ac:dyDescent="0.35">
      <c r="A221" s="1">
        <v>44</v>
      </c>
      <c r="B221" s="1" t="str">
        <f t="shared" si="3"/>
        <v>41-50</v>
      </c>
      <c r="C221" s="1">
        <v>1</v>
      </c>
      <c r="D221" s="1" t="str">
        <f>IF(Table2[[#This Row],[Sex]]=1,"Male", "Female")</f>
        <v>Male</v>
      </c>
      <c r="E221" s="1">
        <v>2</v>
      </c>
      <c r="F221" s="1" t="str">
        <f>IF(Table2[[#This Row],[Chest pain level]]=1, "Typical Angina", IF(Table2[[#This Row],[Chest pain level]]=2, "Atypical Angina", IF(Table2[[#This Row],[Chest pain level]]=3, "Non Anginal Pain", IF(Table2[[#This Row],[Chest pain level]]=4, "Asymptomatic"))))</f>
        <v>Atypical Angina</v>
      </c>
      <c r="G221" s="1">
        <v>120</v>
      </c>
      <c r="H221" s="1" t="str">
        <f>IF(Table2[[#This Row],[BP]]&lt;=120, "Normal",  IF(Table2[[#This Row],[BP]]&lt;=130, "Slightly Elevated", IF(Table2[[#This Row],[BP]]&lt;=140, "High", "Very High")))</f>
        <v>Normal</v>
      </c>
      <c r="I221" s="1">
        <v>220</v>
      </c>
      <c r="J221" s="1" t="str">
        <f>IF(Table2[[#This Row],[Cholesterol]]&gt;=240, "High", "Normal")</f>
        <v>Normal</v>
      </c>
      <c r="K221" s="1">
        <v>0</v>
      </c>
      <c r="L221" s="1" t="str">
        <f>IF(Table2[[#This Row],[FBS over 120]]=0, "Normal", "High")</f>
        <v>Normal</v>
      </c>
      <c r="M221" s="1">
        <v>0</v>
      </c>
      <c r="N221" s="1" t="str">
        <f>IF(Table2[[#This Row],[EKG results]]=0, "Normal", "Abnormal")</f>
        <v>Normal</v>
      </c>
      <c r="O221" s="1">
        <v>170</v>
      </c>
      <c r="P221" s="1">
        <v>0</v>
      </c>
      <c r="Q221" s="1" t="str">
        <f>IF(Table2[[#This Row],[Exercise angina]]=0, "Normal", "Abnormal")</f>
        <v>Normal</v>
      </c>
      <c r="R221" s="1">
        <v>0</v>
      </c>
      <c r="S221" s="1">
        <v>1</v>
      </c>
      <c r="T221" s="1">
        <v>0</v>
      </c>
      <c r="U221" s="1">
        <v>3</v>
      </c>
      <c r="V221"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21" s="1" t="s">
        <v>15</v>
      </c>
    </row>
    <row r="222" spans="1:23" x14ac:dyDescent="0.35">
      <c r="A222" s="1">
        <v>54</v>
      </c>
      <c r="B222" s="1" t="str">
        <f t="shared" si="3"/>
        <v>51-60</v>
      </c>
      <c r="C222" s="1">
        <v>1</v>
      </c>
      <c r="D222" s="1" t="str">
        <f>IF(Table2[[#This Row],[Sex]]=1,"Male", "Female")</f>
        <v>Male</v>
      </c>
      <c r="E222" s="1">
        <v>4</v>
      </c>
      <c r="F222" s="1" t="str">
        <f>IF(Table2[[#This Row],[Chest pain level]]=1, "Typical Angina", IF(Table2[[#This Row],[Chest pain level]]=2, "Atypical Angina", IF(Table2[[#This Row],[Chest pain level]]=3, "Non Anginal Pain", IF(Table2[[#This Row],[Chest pain level]]=4, "Asymptomatic"))))</f>
        <v>Asymptomatic</v>
      </c>
      <c r="G222" s="1">
        <v>110</v>
      </c>
      <c r="H222" s="1" t="str">
        <f>IF(Table2[[#This Row],[BP]]&lt;=120, "Normal",  IF(Table2[[#This Row],[BP]]&lt;=130, "Slightly Elevated", IF(Table2[[#This Row],[BP]]&lt;=140, "High", "Very High")))</f>
        <v>Normal</v>
      </c>
      <c r="I222" s="1">
        <v>239</v>
      </c>
      <c r="J222" s="1" t="str">
        <f>IF(Table2[[#This Row],[Cholesterol]]&gt;=240, "High", "Normal")</f>
        <v>Normal</v>
      </c>
      <c r="K222" s="1">
        <v>0</v>
      </c>
      <c r="L222" s="1" t="str">
        <f>IF(Table2[[#This Row],[FBS over 120]]=0, "Normal", "High")</f>
        <v>Normal</v>
      </c>
      <c r="M222" s="1">
        <v>0</v>
      </c>
      <c r="N222" s="1" t="str">
        <f>IF(Table2[[#This Row],[EKG results]]=0, "Normal", "Abnormal")</f>
        <v>Normal</v>
      </c>
      <c r="O222" s="1">
        <v>126</v>
      </c>
      <c r="P222" s="1">
        <v>1</v>
      </c>
      <c r="Q222" s="1" t="str">
        <f>IF(Table2[[#This Row],[Exercise angina]]=0, "Normal", "Abnormal")</f>
        <v>Abnormal</v>
      </c>
      <c r="R222" s="1">
        <v>2.8</v>
      </c>
      <c r="S222" s="1">
        <v>2</v>
      </c>
      <c r="T222" s="1">
        <v>1</v>
      </c>
      <c r="U222" s="1">
        <v>7</v>
      </c>
      <c r="V222"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22" s="1" t="s">
        <v>14</v>
      </c>
    </row>
    <row r="223" spans="1:23" x14ac:dyDescent="0.35">
      <c r="A223" s="1">
        <v>65</v>
      </c>
      <c r="B223" s="1" t="str">
        <f t="shared" si="3"/>
        <v>61-70</v>
      </c>
      <c r="C223" s="1">
        <v>1</v>
      </c>
      <c r="D223" s="1" t="str">
        <f>IF(Table2[[#This Row],[Sex]]=1,"Male", "Female")</f>
        <v>Male</v>
      </c>
      <c r="E223" s="1">
        <v>4</v>
      </c>
      <c r="F223" s="1" t="str">
        <f>IF(Table2[[#This Row],[Chest pain level]]=1, "Typical Angina", IF(Table2[[#This Row],[Chest pain level]]=2, "Atypical Angina", IF(Table2[[#This Row],[Chest pain level]]=3, "Non Anginal Pain", IF(Table2[[#This Row],[Chest pain level]]=4, "Asymptomatic"))))</f>
        <v>Asymptomatic</v>
      </c>
      <c r="G223" s="1">
        <v>135</v>
      </c>
      <c r="H223" s="1" t="str">
        <f>IF(Table2[[#This Row],[BP]]&lt;=120, "Normal",  IF(Table2[[#This Row],[BP]]&lt;=130, "Slightly Elevated", IF(Table2[[#This Row],[BP]]&lt;=140, "High", "Very High")))</f>
        <v>High</v>
      </c>
      <c r="I223" s="1">
        <v>254</v>
      </c>
      <c r="J223" s="1" t="str">
        <f>IF(Table2[[#This Row],[Cholesterol]]&gt;=240, "High", "Normal")</f>
        <v>High</v>
      </c>
      <c r="K223" s="1">
        <v>0</v>
      </c>
      <c r="L223" s="1" t="str">
        <f>IF(Table2[[#This Row],[FBS over 120]]=0, "Normal", "High")</f>
        <v>Normal</v>
      </c>
      <c r="M223" s="1">
        <v>2</v>
      </c>
      <c r="N223" s="1" t="str">
        <f>IF(Table2[[#This Row],[EKG results]]=0, "Normal", "Abnormal")</f>
        <v>Abnormal</v>
      </c>
      <c r="O223" s="1">
        <v>127</v>
      </c>
      <c r="P223" s="1">
        <v>0</v>
      </c>
      <c r="Q223" s="1" t="str">
        <f>IF(Table2[[#This Row],[Exercise angina]]=0, "Normal", "Abnormal")</f>
        <v>Normal</v>
      </c>
      <c r="R223" s="1">
        <v>2.8</v>
      </c>
      <c r="S223" s="1">
        <v>2</v>
      </c>
      <c r="T223" s="1">
        <v>1</v>
      </c>
      <c r="U223" s="1">
        <v>7</v>
      </c>
      <c r="V223"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23" s="1" t="s">
        <v>14</v>
      </c>
    </row>
    <row r="224" spans="1:23" x14ac:dyDescent="0.35">
      <c r="A224" s="1">
        <v>57</v>
      </c>
      <c r="B224" s="1" t="str">
        <f t="shared" si="3"/>
        <v>51-60</v>
      </c>
      <c r="C224" s="1">
        <v>1</v>
      </c>
      <c r="D224" s="1" t="str">
        <f>IF(Table2[[#This Row],[Sex]]=1,"Male", "Female")</f>
        <v>Male</v>
      </c>
      <c r="E224" s="1">
        <v>3</v>
      </c>
      <c r="F224" s="1" t="str">
        <f>IF(Table2[[#This Row],[Chest pain level]]=1, "Typical Angina", IF(Table2[[#This Row],[Chest pain level]]=2, "Atypical Angina", IF(Table2[[#This Row],[Chest pain level]]=3, "Non Anginal Pain", IF(Table2[[#This Row],[Chest pain level]]=4, "Asymptomatic"))))</f>
        <v>Non Anginal Pain</v>
      </c>
      <c r="G224" s="1">
        <v>150</v>
      </c>
      <c r="H224" s="1" t="str">
        <f>IF(Table2[[#This Row],[BP]]&lt;=120, "Normal",  IF(Table2[[#This Row],[BP]]&lt;=130, "Slightly Elevated", IF(Table2[[#This Row],[BP]]&lt;=140, "High", "Very High")))</f>
        <v>Very High</v>
      </c>
      <c r="I224" s="1">
        <v>168</v>
      </c>
      <c r="J224" s="1" t="str">
        <f>IF(Table2[[#This Row],[Cholesterol]]&gt;=240, "High", "Normal")</f>
        <v>Normal</v>
      </c>
      <c r="K224" s="1">
        <v>0</v>
      </c>
      <c r="L224" s="1" t="str">
        <f>IF(Table2[[#This Row],[FBS over 120]]=0, "Normal", "High")</f>
        <v>Normal</v>
      </c>
      <c r="M224" s="1">
        <v>0</v>
      </c>
      <c r="N224" s="1" t="str">
        <f>IF(Table2[[#This Row],[EKG results]]=0, "Normal", "Abnormal")</f>
        <v>Normal</v>
      </c>
      <c r="O224" s="1">
        <v>174</v>
      </c>
      <c r="P224" s="1">
        <v>0</v>
      </c>
      <c r="Q224" s="1" t="str">
        <f>IF(Table2[[#This Row],[Exercise angina]]=0, "Normal", "Abnormal")</f>
        <v>Normal</v>
      </c>
      <c r="R224" s="1">
        <v>1.6</v>
      </c>
      <c r="S224" s="1">
        <v>1</v>
      </c>
      <c r="T224" s="1">
        <v>0</v>
      </c>
      <c r="U224" s="1">
        <v>3</v>
      </c>
      <c r="V224"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24" s="1" t="s">
        <v>15</v>
      </c>
    </row>
    <row r="225" spans="1:23" x14ac:dyDescent="0.35">
      <c r="A225" s="1">
        <v>63</v>
      </c>
      <c r="B225" s="1" t="str">
        <f t="shared" si="3"/>
        <v>61-70</v>
      </c>
      <c r="C225" s="1">
        <v>1</v>
      </c>
      <c r="D225" s="1" t="str">
        <f>IF(Table2[[#This Row],[Sex]]=1,"Male", "Female")</f>
        <v>Male</v>
      </c>
      <c r="E225" s="1">
        <v>4</v>
      </c>
      <c r="F225" s="1" t="str">
        <f>IF(Table2[[#This Row],[Chest pain level]]=1, "Typical Angina", IF(Table2[[#This Row],[Chest pain level]]=2, "Atypical Angina", IF(Table2[[#This Row],[Chest pain level]]=3, "Non Anginal Pain", IF(Table2[[#This Row],[Chest pain level]]=4, "Asymptomatic"))))</f>
        <v>Asymptomatic</v>
      </c>
      <c r="G225" s="1">
        <v>130</v>
      </c>
      <c r="H225" s="1" t="str">
        <f>IF(Table2[[#This Row],[BP]]&lt;=120, "Normal",  IF(Table2[[#This Row],[BP]]&lt;=130, "Slightly Elevated", IF(Table2[[#This Row],[BP]]&lt;=140, "High", "Very High")))</f>
        <v>Slightly Elevated</v>
      </c>
      <c r="I225" s="1">
        <v>330</v>
      </c>
      <c r="J225" s="1" t="str">
        <f>IF(Table2[[#This Row],[Cholesterol]]&gt;=240, "High", "Normal")</f>
        <v>High</v>
      </c>
      <c r="K225" s="1">
        <v>1</v>
      </c>
      <c r="L225" s="1" t="str">
        <f>IF(Table2[[#This Row],[FBS over 120]]=0, "Normal", "High")</f>
        <v>High</v>
      </c>
      <c r="M225" s="1">
        <v>2</v>
      </c>
      <c r="N225" s="1" t="str">
        <f>IF(Table2[[#This Row],[EKG results]]=0, "Normal", "Abnormal")</f>
        <v>Abnormal</v>
      </c>
      <c r="O225" s="1">
        <v>132</v>
      </c>
      <c r="P225" s="1">
        <v>1</v>
      </c>
      <c r="Q225" s="1" t="str">
        <f>IF(Table2[[#This Row],[Exercise angina]]=0, "Normal", "Abnormal")</f>
        <v>Abnormal</v>
      </c>
      <c r="R225" s="1">
        <v>1.8</v>
      </c>
      <c r="S225" s="1">
        <v>1</v>
      </c>
      <c r="T225" s="1">
        <v>3</v>
      </c>
      <c r="U225" s="1">
        <v>7</v>
      </c>
      <c r="V225"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25" s="1" t="s">
        <v>14</v>
      </c>
    </row>
    <row r="226" spans="1:23" x14ac:dyDescent="0.35">
      <c r="A226" s="1">
        <v>35</v>
      </c>
      <c r="B226" s="1" t="str">
        <f t="shared" si="3"/>
        <v>31-40</v>
      </c>
      <c r="C226" s="1">
        <v>0</v>
      </c>
      <c r="D226" s="1" t="str">
        <f>IF(Table2[[#This Row],[Sex]]=1,"Male", "Female")</f>
        <v>Female</v>
      </c>
      <c r="E226" s="1">
        <v>4</v>
      </c>
      <c r="F226" s="1" t="str">
        <f>IF(Table2[[#This Row],[Chest pain level]]=1, "Typical Angina", IF(Table2[[#This Row],[Chest pain level]]=2, "Atypical Angina", IF(Table2[[#This Row],[Chest pain level]]=3, "Non Anginal Pain", IF(Table2[[#This Row],[Chest pain level]]=4, "Asymptomatic"))))</f>
        <v>Asymptomatic</v>
      </c>
      <c r="G226" s="1">
        <v>138</v>
      </c>
      <c r="H226" s="1" t="str">
        <f>IF(Table2[[#This Row],[BP]]&lt;=120, "Normal",  IF(Table2[[#This Row],[BP]]&lt;=130, "Slightly Elevated", IF(Table2[[#This Row],[BP]]&lt;=140, "High", "Very High")))</f>
        <v>High</v>
      </c>
      <c r="I226" s="1">
        <v>183</v>
      </c>
      <c r="J226" s="1" t="str">
        <f>IF(Table2[[#This Row],[Cholesterol]]&gt;=240, "High", "Normal")</f>
        <v>Normal</v>
      </c>
      <c r="K226" s="1">
        <v>0</v>
      </c>
      <c r="L226" s="1" t="str">
        <f>IF(Table2[[#This Row],[FBS over 120]]=0, "Normal", "High")</f>
        <v>Normal</v>
      </c>
      <c r="M226" s="1">
        <v>0</v>
      </c>
      <c r="N226" s="1" t="str">
        <f>IF(Table2[[#This Row],[EKG results]]=0, "Normal", "Abnormal")</f>
        <v>Normal</v>
      </c>
      <c r="O226" s="1">
        <v>182</v>
      </c>
      <c r="P226" s="1">
        <v>0</v>
      </c>
      <c r="Q226" s="1" t="str">
        <f>IF(Table2[[#This Row],[Exercise angina]]=0, "Normal", "Abnormal")</f>
        <v>Normal</v>
      </c>
      <c r="R226" s="1">
        <v>1.4</v>
      </c>
      <c r="S226" s="1">
        <v>1</v>
      </c>
      <c r="T226" s="1">
        <v>0</v>
      </c>
      <c r="U226" s="1">
        <v>3</v>
      </c>
      <c r="V226"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26" s="1" t="s">
        <v>15</v>
      </c>
    </row>
    <row r="227" spans="1:23" x14ac:dyDescent="0.35">
      <c r="A227" s="1">
        <v>41</v>
      </c>
      <c r="B227" s="1" t="str">
        <f t="shared" si="3"/>
        <v>41-50</v>
      </c>
      <c r="C227" s="1">
        <v>1</v>
      </c>
      <c r="D227" s="1" t="str">
        <f>IF(Table2[[#This Row],[Sex]]=1,"Male", "Female")</f>
        <v>Male</v>
      </c>
      <c r="E227" s="1">
        <v>2</v>
      </c>
      <c r="F227" s="1" t="str">
        <f>IF(Table2[[#This Row],[Chest pain level]]=1, "Typical Angina", IF(Table2[[#This Row],[Chest pain level]]=2, "Atypical Angina", IF(Table2[[#This Row],[Chest pain level]]=3, "Non Anginal Pain", IF(Table2[[#This Row],[Chest pain level]]=4, "Asymptomatic"))))</f>
        <v>Atypical Angina</v>
      </c>
      <c r="G227" s="1">
        <v>135</v>
      </c>
      <c r="H227" s="1" t="str">
        <f>IF(Table2[[#This Row],[BP]]&lt;=120, "Normal",  IF(Table2[[#This Row],[BP]]&lt;=130, "Slightly Elevated", IF(Table2[[#This Row],[BP]]&lt;=140, "High", "Very High")))</f>
        <v>High</v>
      </c>
      <c r="I227" s="1">
        <v>203</v>
      </c>
      <c r="J227" s="1" t="str">
        <f>IF(Table2[[#This Row],[Cholesterol]]&gt;=240, "High", "Normal")</f>
        <v>Normal</v>
      </c>
      <c r="K227" s="1">
        <v>0</v>
      </c>
      <c r="L227" s="1" t="str">
        <f>IF(Table2[[#This Row],[FBS over 120]]=0, "Normal", "High")</f>
        <v>Normal</v>
      </c>
      <c r="M227" s="1">
        <v>0</v>
      </c>
      <c r="N227" s="1" t="str">
        <f>IF(Table2[[#This Row],[EKG results]]=0, "Normal", "Abnormal")</f>
        <v>Normal</v>
      </c>
      <c r="O227" s="1">
        <v>132</v>
      </c>
      <c r="P227" s="1">
        <v>0</v>
      </c>
      <c r="Q227" s="1" t="str">
        <f>IF(Table2[[#This Row],[Exercise angina]]=0, "Normal", "Abnormal")</f>
        <v>Normal</v>
      </c>
      <c r="R227" s="1">
        <v>0</v>
      </c>
      <c r="S227" s="1">
        <v>2</v>
      </c>
      <c r="T227" s="1">
        <v>0</v>
      </c>
      <c r="U227" s="1">
        <v>6</v>
      </c>
      <c r="V227"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27" s="1" t="s">
        <v>15</v>
      </c>
    </row>
    <row r="228" spans="1:23" x14ac:dyDescent="0.35">
      <c r="A228" s="1">
        <v>62</v>
      </c>
      <c r="B228" s="1" t="str">
        <f t="shared" si="3"/>
        <v>61-70</v>
      </c>
      <c r="C228" s="1">
        <v>0</v>
      </c>
      <c r="D228" s="1" t="str">
        <f>IF(Table2[[#This Row],[Sex]]=1,"Male", "Female")</f>
        <v>Female</v>
      </c>
      <c r="E228" s="1">
        <v>3</v>
      </c>
      <c r="F228" s="1" t="str">
        <f>IF(Table2[[#This Row],[Chest pain level]]=1, "Typical Angina", IF(Table2[[#This Row],[Chest pain level]]=2, "Atypical Angina", IF(Table2[[#This Row],[Chest pain level]]=3, "Non Anginal Pain", IF(Table2[[#This Row],[Chest pain level]]=4, "Asymptomatic"))))</f>
        <v>Non Anginal Pain</v>
      </c>
      <c r="G228" s="1">
        <v>130</v>
      </c>
      <c r="H228" s="1" t="str">
        <f>IF(Table2[[#This Row],[BP]]&lt;=120, "Normal",  IF(Table2[[#This Row],[BP]]&lt;=130, "Slightly Elevated", IF(Table2[[#This Row],[BP]]&lt;=140, "High", "Very High")))</f>
        <v>Slightly Elevated</v>
      </c>
      <c r="I228" s="1">
        <v>263</v>
      </c>
      <c r="J228" s="1" t="str">
        <f>IF(Table2[[#This Row],[Cholesterol]]&gt;=240, "High", "Normal")</f>
        <v>High</v>
      </c>
      <c r="K228" s="1">
        <v>0</v>
      </c>
      <c r="L228" s="1" t="str">
        <f>IF(Table2[[#This Row],[FBS over 120]]=0, "Normal", "High")</f>
        <v>Normal</v>
      </c>
      <c r="M228" s="1">
        <v>0</v>
      </c>
      <c r="N228" s="1" t="str">
        <f>IF(Table2[[#This Row],[EKG results]]=0, "Normal", "Abnormal")</f>
        <v>Normal</v>
      </c>
      <c r="O228" s="1">
        <v>97</v>
      </c>
      <c r="P228" s="1">
        <v>0</v>
      </c>
      <c r="Q228" s="1" t="str">
        <f>IF(Table2[[#This Row],[Exercise angina]]=0, "Normal", "Abnormal")</f>
        <v>Normal</v>
      </c>
      <c r="R228" s="1">
        <v>1.2</v>
      </c>
      <c r="S228" s="1">
        <v>2</v>
      </c>
      <c r="T228" s="1">
        <v>1</v>
      </c>
      <c r="U228" s="1">
        <v>7</v>
      </c>
      <c r="V228"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28" s="1" t="s">
        <v>14</v>
      </c>
    </row>
    <row r="229" spans="1:23" x14ac:dyDescent="0.35">
      <c r="A229" s="1">
        <v>43</v>
      </c>
      <c r="B229" s="1" t="str">
        <f t="shared" si="3"/>
        <v>41-50</v>
      </c>
      <c r="C229" s="1">
        <v>0</v>
      </c>
      <c r="D229" s="1" t="str">
        <f>IF(Table2[[#This Row],[Sex]]=1,"Male", "Female")</f>
        <v>Female</v>
      </c>
      <c r="E229" s="1">
        <v>4</v>
      </c>
      <c r="F229" s="1" t="str">
        <f>IF(Table2[[#This Row],[Chest pain level]]=1, "Typical Angina", IF(Table2[[#This Row],[Chest pain level]]=2, "Atypical Angina", IF(Table2[[#This Row],[Chest pain level]]=3, "Non Anginal Pain", IF(Table2[[#This Row],[Chest pain level]]=4, "Asymptomatic"))))</f>
        <v>Asymptomatic</v>
      </c>
      <c r="G229" s="1">
        <v>132</v>
      </c>
      <c r="H229" s="1" t="str">
        <f>IF(Table2[[#This Row],[BP]]&lt;=120, "Normal",  IF(Table2[[#This Row],[BP]]&lt;=130, "Slightly Elevated", IF(Table2[[#This Row],[BP]]&lt;=140, "High", "Very High")))</f>
        <v>High</v>
      </c>
      <c r="I229" s="1">
        <v>341</v>
      </c>
      <c r="J229" s="1" t="str">
        <f>IF(Table2[[#This Row],[Cholesterol]]&gt;=240, "High", "Normal")</f>
        <v>High</v>
      </c>
      <c r="K229" s="1">
        <v>1</v>
      </c>
      <c r="L229" s="1" t="str">
        <f>IF(Table2[[#This Row],[FBS over 120]]=0, "Normal", "High")</f>
        <v>High</v>
      </c>
      <c r="M229" s="1">
        <v>2</v>
      </c>
      <c r="N229" s="1" t="str">
        <f>IF(Table2[[#This Row],[EKG results]]=0, "Normal", "Abnormal")</f>
        <v>Abnormal</v>
      </c>
      <c r="O229" s="1">
        <v>136</v>
      </c>
      <c r="P229" s="1">
        <v>1</v>
      </c>
      <c r="Q229" s="1" t="str">
        <f>IF(Table2[[#This Row],[Exercise angina]]=0, "Normal", "Abnormal")</f>
        <v>Abnormal</v>
      </c>
      <c r="R229" s="1">
        <v>3</v>
      </c>
      <c r="S229" s="1">
        <v>2</v>
      </c>
      <c r="T229" s="1">
        <v>0</v>
      </c>
      <c r="U229" s="1">
        <v>7</v>
      </c>
      <c r="V229"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29" s="1" t="s">
        <v>14</v>
      </c>
    </row>
    <row r="230" spans="1:23" x14ac:dyDescent="0.35">
      <c r="A230" s="1">
        <v>58</v>
      </c>
      <c r="B230" s="1" t="str">
        <f t="shared" si="3"/>
        <v>51-60</v>
      </c>
      <c r="C230" s="1">
        <v>0</v>
      </c>
      <c r="D230" s="1" t="str">
        <f>IF(Table2[[#This Row],[Sex]]=1,"Male", "Female")</f>
        <v>Female</v>
      </c>
      <c r="E230" s="1">
        <v>1</v>
      </c>
      <c r="F230" s="1" t="str">
        <f>IF(Table2[[#This Row],[Chest pain level]]=1, "Typical Angina", IF(Table2[[#This Row],[Chest pain level]]=2, "Atypical Angina", IF(Table2[[#This Row],[Chest pain level]]=3, "Non Anginal Pain", IF(Table2[[#This Row],[Chest pain level]]=4, "Asymptomatic"))))</f>
        <v>Typical Angina</v>
      </c>
      <c r="G230" s="1">
        <v>150</v>
      </c>
      <c r="H230" s="1" t="str">
        <f>IF(Table2[[#This Row],[BP]]&lt;=120, "Normal",  IF(Table2[[#This Row],[BP]]&lt;=130, "Slightly Elevated", IF(Table2[[#This Row],[BP]]&lt;=140, "High", "Very High")))</f>
        <v>Very High</v>
      </c>
      <c r="I230" s="1">
        <v>283</v>
      </c>
      <c r="J230" s="1" t="str">
        <f>IF(Table2[[#This Row],[Cholesterol]]&gt;=240, "High", "Normal")</f>
        <v>High</v>
      </c>
      <c r="K230" s="1">
        <v>1</v>
      </c>
      <c r="L230" s="1" t="str">
        <f>IF(Table2[[#This Row],[FBS over 120]]=0, "Normal", "High")</f>
        <v>High</v>
      </c>
      <c r="M230" s="1">
        <v>2</v>
      </c>
      <c r="N230" s="1" t="str">
        <f>IF(Table2[[#This Row],[EKG results]]=0, "Normal", "Abnormal")</f>
        <v>Abnormal</v>
      </c>
      <c r="O230" s="1">
        <v>162</v>
      </c>
      <c r="P230" s="1">
        <v>0</v>
      </c>
      <c r="Q230" s="1" t="str">
        <f>IF(Table2[[#This Row],[Exercise angina]]=0, "Normal", "Abnormal")</f>
        <v>Normal</v>
      </c>
      <c r="R230" s="1">
        <v>1</v>
      </c>
      <c r="S230" s="1">
        <v>1</v>
      </c>
      <c r="T230" s="1">
        <v>0</v>
      </c>
      <c r="U230" s="1">
        <v>3</v>
      </c>
      <c r="V230"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30" s="1" t="s">
        <v>15</v>
      </c>
    </row>
    <row r="231" spans="1:23" x14ac:dyDescent="0.35">
      <c r="A231" s="1">
        <v>52</v>
      </c>
      <c r="B231" s="1" t="str">
        <f t="shared" si="3"/>
        <v>51-60</v>
      </c>
      <c r="C231" s="1">
        <v>1</v>
      </c>
      <c r="D231" s="1" t="str">
        <f>IF(Table2[[#This Row],[Sex]]=1,"Male", "Female")</f>
        <v>Male</v>
      </c>
      <c r="E231" s="1">
        <v>1</v>
      </c>
      <c r="F231" s="1" t="str">
        <f>IF(Table2[[#This Row],[Chest pain level]]=1, "Typical Angina", IF(Table2[[#This Row],[Chest pain level]]=2, "Atypical Angina", IF(Table2[[#This Row],[Chest pain level]]=3, "Non Anginal Pain", IF(Table2[[#This Row],[Chest pain level]]=4, "Asymptomatic"))))</f>
        <v>Typical Angina</v>
      </c>
      <c r="G231" s="1">
        <v>118</v>
      </c>
      <c r="H231" s="1" t="str">
        <f>IF(Table2[[#This Row],[BP]]&lt;=120, "Normal",  IF(Table2[[#This Row],[BP]]&lt;=130, "Slightly Elevated", IF(Table2[[#This Row],[BP]]&lt;=140, "High", "Very High")))</f>
        <v>Normal</v>
      </c>
      <c r="I231" s="1">
        <v>186</v>
      </c>
      <c r="J231" s="1" t="str">
        <f>IF(Table2[[#This Row],[Cholesterol]]&gt;=240, "High", "Normal")</f>
        <v>Normal</v>
      </c>
      <c r="K231" s="1">
        <v>0</v>
      </c>
      <c r="L231" s="1" t="str">
        <f>IF(Table2[[#This Row],[FBS over 120]]=0, "Normal", "High")</f>
        <v>Normal</v>
      </c>
      <c r="M231" s="1">
        <v>2</v>
      </c>
      <c r="N231" s="1" t="str">
        <f>IF(Table2[[#This Row],[EKG results]]=0, "Normal", "Abnormal")</f>
        <v>Abnormal</v>
      </c>
      <c r="O231" s="1">
        <v>190</v>
      </c>
      <c r="P231" s="1">
        <v>0</v>
      </c>
      <c r="Q231" s="1" t="str">
        <f>IF(Table2[[#This Row],[Exercise angina]]=0, "Normal", "Abnormal")</f>
        <v>Normal</v>
      </c>
      <c r="R231" s="1">
        <v>0</v>
      </c>
      <c r="S231" s="1">
        <v>2</v>
      </c>
      <c r="T231" s="1">
        <v>0</v>
      </c>
      <c r="U231" s="1">
        <v>6</v>
      </c>
      <c r="V231"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31" s="1" t="s">
        <v>15</v>
      </c>
    </row>
    <row r="232" spans="1:23" x14ac:dyDescent="0.35">
      <c r="A232" s="1">
        <v>61</v>
      </c>
      <c r="B232" s="1" t="str">
        <f t="shared" si="3"/>
        <v>61-70</v>
      </c>
      <c r="C232" s="1">
        <v>0</v>
      </c>
      <c r="D232" s="1" t="str">
        <f>IF(Table2[[#This Row],[Sex]]=1,"Male", "Female")</f>
        <v>Female</v>
      </c>
      <c r="E232" s="1">
        <v>4</v>
      </c>
      <c r="F232" s="1" t="str">
        <f>IF(Table2[[#This Row],[Chest pain level]]=1, "Typical Angina", IF(Table2[[#This Row],[Chest pain level]]=2, "Atypical Angina", IF(Table2[[#This Row],[Chest pain level]]=3, "Non Anginal Pain", IF(Table2[[#This Row],[Chest pain level]]=4, "Asymptomatic"))))</f>
        <v>Asymptomatic</v>
      </c>
      <c r="G232" s="1">
        <v>145</v>
      </c>
      <c r="H232" s="1" t="str">
        <f>IF(Table2[[#This Row],[BP]]&lt;=120, "Normal",  IF(Table2[[#This Row],[BP]]&lt;=130, "Slightly Elevated", IF(Table2[[#This Row],[BP]]&lt;=140, "High", "Very High")))</f>
        <v>Very High</v>
      </c>
      <c r="I232" s="1">
        <v>307</v>
      </c>
      <c r="J232" s="1" t="str">
        <f>IF(Table2[[#This Row],[Cholesterol]]&gt;=240, "High", "Normal")</f>
        <v>High</v>
      </c>
      <c r="K232" s="1">
        <v>0</v>
      </c>
      <c r="L232" s="1" t="str">
        <f>IF(Table2[[#This Row],[FBS over 120]]=0, "Normal", "High")</f>
        <v>Normal</v>
      </c>
      <c r="M232" s="1">
        <v>2</v>
      </c>
      <c r="N232" s="1" t="str">
        <f>IF(Table2[[#This Row],[EKG results]]=0, "Normal", "Abnormal")</f>
        <v>Abnormal</v>
      </c>
      <c r="O232" s="1">
        <v>146</v>
      </c>
      <c r="P232" s="1">
        <v>1</v>
      </c>
      <c r="Q232" s="1" t="str">
        <f>IF(Table2[[#This Row],[Exercise angina]]=0, "Normal", "Abnormal")</f>
        <v>Abnormal</v>
      </c>
      <c r="R232" s="1">
        <v>1</v>
      </c>
      <c r="S232" s="1">
        <v>2</v>
      </c>
      <c r="T232" s="1">
        <v>0</v>
      </c>
      <c r="U232" s="1">
        <v>7</v>
      </c>
      <c r="V232"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32" s="1" t="s">
        <v>14</v>
      </c>
    </row>
    <row r="233" spans="1:23" x14ac:dyDescent="0.35">
      <c r="A233" s="1">
        <v>39</v>
      </c>
      <c r="B233" s="1" t="str">
        <f t="shared" si="3"/>
        <v>31-40</v>
      </c>
      <c r="C233" s="1">
        <v>1</v>
      </c>
      <c r="D233" s="1" t="str">
        <f>IF(Table2[[#This Row],[Sex]]=1,"Male", "Female")</f>
        <v>Male</v>
      </c>
      <c r="E233" s="1">
        <v>4</v>
      </c>
      <c r="F233" s="1" t="str">
        <f>IF(Table2[[#This Row],[Chest pain level]]=1, "Typical Angina", IF(Table2[[#This Row],[Chest pain level]]=2, "Atypical Angina", IF(Table2[[#This Row],[Chest pain level]]=3, "Non Anginal Pain", IF(Table2[[#This Row],[Chest pain level]]=4, "Asymptomatic"))))</f>
        <v>Asymptomatic</v>
      </c>
      <c r="G233" s="1">
        <v>118</v>
      </c>
      <c r="H233" s="1" t="str">
        <f>IF(Table2[[#This Row],[BP]]&lt;=120, "Normal",  IF(Table2[[#This Row],[BP]]&lt;=130, "Slightly Elevated", IF(Table2[[#This Row],[BP]]&lt;=140, "High", "Very High")))</f>
        <v>Normal</v>
      </c>
      <c r="I233" s="1">
        <v>219</v>
      </c>
      <c r="J233" s="1" t="str">
        <f>IF(Table2[[#This Row],[Cholesterol]]&gt;=240, "High", "Normal")</f>
        <v>Normal</v>
      </c>
      <c r="K233" s="1">
        <v>0</v>
      </c>
      <c r="L233" s="1" t="str">
        <f>IF(Table2[[#This Row],[FBS over 120]]=0, "Normal", "High")</f>
        <v>Normal</v>
      </c>
      <c r="M233" s="1">
        <v>0</v>
      </c>
      <c r="N233" s="1" t="str">
        <f>IF(Table2[[#This Row],[EKG results]]=0, "Normal", "Abnormal")</f>
        <v>Normal</v>
      </c>
      <c r="O233" s="1">
        <v>140</v>
      </c>
      <c r="P233" s="1">
        <v>0</v>
      </c>
      <c r="Q233" s="1" t="str">
        <f>IF(Table2[[#This Row],[Exercise angina]]=0, "Normal", "Abnormal")</f>
        <v>Normal</v>
      </c>
      <c r="R233" s="1">
        <v>1.2</v>
      </c>
      <c r="S233" s="1">
        <v>2</v>
      </c>
      <c r="T233" s="1">
        <v>0</v>
      </c>
      <c r="U233" s="1">
        <v>7</v>
      </c>
      <c r="V233"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33" s="1" t="s">
        <v>14</v>
      </c>
    </row>
    <row r="234" spans="1:23" x14ac:dyDescent="0.35">
      <c r="A234" s="1">
        <v>45</v>
      </c>
      <c r="B234" s="1" t="str">
        <f t="shared" si="3"/>
        <v>41-50</v>
      </c>
      <c r="C234" s="1">
        <v>1</v>
      </c>
      <c r="D234" s="1" t="str">
        <f>IF(Table2[[#This Row],[Sex]]=1,"Male", "Female")</f>
        <v>Male</v>
      </c>
      <c r="E234" s="1">
        <v>4</v>
      </c>
      <c r="F234" s="1" t="str">
        <f>IF(Table2[[#This Row],[Chest pain level]]=1, "Typical Angina", IF(Table2[[#This Row],[Chest pain level]]=2, "Atypical Angina", IF(Table2[[#This Row],[Chest pain level]]=3, "Non Anginal Pain", IF(Table2[[#This Row],[Chest pain level]]=4, "Asymptomatic"))))</f>
        <v>Asymptomatic</v>
      </c>
      <c r="G234" s="1">
        <v>115</v>
      </c>
      <c r="H234" s="1" t="str">
        <f>IF(Table2[[#This Row],[BP]]&lt;=120, "Normal",  IF(Table2[[#This Row],[BP]]&lt;=130, "Slightly Elevated", IF(Table2[[#This Row],[BP]]&lt;=140, "High", "Very High")))</f>
        <v>Normal</v>
      </c>
      <c r="I234" s="1">
        <v>260</v>
      </c>
      <c r="J234" s="1" t="str">
        <f>IF(Table2[[#This Row],[Cholesterol]]&gt;=240, "High", "Normal")</f>
        <v>High</v>
      </c>
      <c r="K234" s="1">
        <v>0</v>
      </c>
      <c r="L234" s="1" t="str">
        <f>IF(Table2[[#This Row],[FBS over 120]]=0, "Normal", "High")</f>
        <v>Normal</v>
      </c>
      <c r="M234" s="1">
        <v>2</v>
      </c>
      <c r="N234" s="1" t="str">
        <f>IF(Table2[[#This Row],[EKG results]]=0, "Normal", "Abnormal")</f>
        <v>Abnormal</v>
      </c>
      <c r="O234" s="1">
        <v>185</v>
      </c>
      <c r="P234" s="1">
        <v>0</v>
      </c>
      <c r="Q234" s="1" t="str">
        <f>IF(Table2[[#This Row],[Exercise angina]]=0, "Normal", "Abnormal")</f>
        <v>Normal</v>
      </c>
      <c r="R234" s="1">
        <v>0</v>
      </c>
      <c r="S234" s="1">
        <v>1</v>
      </c>
      <c r="T234" s="1">
        <v>0</v>
      </c>
      <c r="U234" s="1">
        <v>3</v>
      </c>
      <c r="V234"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34" s="1" t="s">
        <v>15</v>
      </c>
    </row>
    <row r="235" spans="1:23" x14ac:dyDescent="0.35">
      <c r="A235" s="1">
        <v>52</v>
      </c>
      <c r="B235" s="1" t="str">
        <f t="shared" si="3"/>
        <v>51-60</v>
      </c>
      <c r="C235" s="1">
        <v>1</v>
      </c>
      <c r="D235" s="1" t="str">
        <f>IF(Table2[[#This Row],[Sex]]=1,"Male", "Female")</f>
        <v>Male</v>
      </c>
      <c r="E235" s="1">
        <v>4</v>
      </c>
      <c r="F235" s="1" t="str">
        <f>IF(Table2[[#This Row],[Chest pain level]]=1, "Typical Angina", IF(Table2[[#This Row],[Chest pain level]]=2, "Atypical Angina", IF(Table2[[#This Row],[Chest pain level]]=3, "Non Anginal Pain", IF(Table2[[#This Row],[Chest pain level]]=4, "Asymptomatic"))))</f>
        <v>Asymptomatic</v>
      </c>
      <c r="G235" s="1">
        <v>128</v>
      </c>
      <c r="H235" s="1" t="str">
        <f>IF(Table2[[#This Row],[BP]]&lt;=120, "Normal",  IF(Table2[[#This Row],[BP]]&lt;=130, "Slightly Elevated", IF(Table2[[#This Row],[BP]]&lt;=140, "High", "Very High")))</f>
        <v>Slightly Elevated</v>
      </c>
      <c r="I235" s="1">
        <v>255</v>
      </c>
      <c r="J235" s="1" t="str">
        <f>IF(Table2[[#This Row],[Cholesterol]]&gt;=240, "High", "Normal")</f>
        <v>High</v>
      </c>
      <c r="K235" s="1">
        <v>0</v>
      </c>
      <c r="L235" s="1" t="str">
        <f>IF(Table2[[#This Row],[FBS over 120]]=0, "Normal", "High")</f>
        <v>Normal</v>
      </c>
      <c r="M235" s="1">
        <v>0</v>
      </c>
      <c r="N235" s="1" t="str">
        <f>IF(Table2[[#This Row],[EKG results]]=0, "Normal", "Abnormal")</f>
        <v>Normal</v>
      </c>
      <c r="O235" s="1">
        <v>161</v>
      </c>
      <c r="P235" s="1">
        <v>1</v>
      </c>
      <c r="Q235" s="1" t="str">
        <f>IF(Table2[[#This Row],[Exercise angina]]=0, "Normal", "Abnormal")</f>
        <v>Abnormal</v>
      </c>
      <c r="R235" s="1">
        <v>0</v>
      </c>
      <c r="S235" s="1">
        <v>1</v>
      </c>
      <c r="T235" s="1">
        <v>1</v>
      </c>
      <c r="U235" s="1">
        <v>7</v>
      </c>
      <c r="V235"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35" s="1" t="s">
        <v>14</v>
      </c>
    </row>
    <row r="236" spans="1:23" x14ac:dyDescent="0.35">
      <c r="A236" s="1">
        <v>62</v>
      </c>
      <c r="B236" s="1" t="str">
        <f t="shared" si="3"/>
        <v>61-70</v>
      </c>
      <c r="C236" s="1">
        <v>1</v>
      </c>
      <c r="D236" s="1" t="str">
        <f>IF(Table2[[#This Row],[Sex]]=1,"Male", "Female")</f>
        <v>Male</v>
      </c>
      <c r="E236" s="1">
        <v>3</v>
      </c>
      <c r="F236" s="1" t="str">
        <f>IF(Table2[[#This Row],[Chest pain level]]=1, "Typical Angina", IF(Table2[[#This Row],[Chest pain level]]=2, "Atypical Angina", IF(Table2[[#This Row],[Chest pain level]]=3, "Non Anginal Pain", IF(Table2[[#This Row],[Chest pain level]]=4, "Asymptomatic"))))</f>
        <v>Non Anginal Pain</v>
      </c>
      <c r="G236" s="1">
        <v>130</v>
      </c>
      <c r="H236" s="1" t="str">
        <f>IF(Table2[[#This Row],[BP]]&lt;=120, "Normal",  IF(Table2[[#This Row],[BP]]&lt;=130, "Slightly Elevated", IF(Table2[[#This Row],[BP]]&lt;=140, "High", "Very High")))</f>
        <v>Slightly Elevated</v>
      </c>
      <c r="I236" s="1">
        <v>231</v>
      </c>
      <c r="J236" s="1" t="str">
        <f>IF(Table2[[#This Row],[Cholesterol]]&gt;=240, "High", "Normal")</f>
        <v>Normal</v>
      </c>
      <c r="K236" s="1">
        <v>0</v>
      </c>
      <c r="L236" s="1" t="str">
        <f>IF(Table2[[#This Row],[FBS over 120]]=0, "Normal", "High")</f>
        <v>Normal</v>
      </c>
      <c r="M236" s="1">
        <v>0</v>
      </c>
      <c r="N236" s="1" t="str">
        <f>IF(Table2[[#This Row],[EKG results]]=0, "Normal", "Abnormal")</f>
        <v>Normal</v>
      </c>
      <c r="O236" s="1">
        <v>146</v>
      </c>
      <c r="P236" s="1">
        <v>0</v>
      </c>
      <c r="Q236" s="1" t="str">
        <f>IF(Table2[[#This Row],[Exercise angina]]=0, "Normal", "Abnormal")</f>
        <v>Normal</v>
      </c>
      <c r="R236" s="1">
        <v>1.8</v>
      </c>
      <c r="S236" s="1">
        <v>2</v>
      </c>
      <c r="T236" s="1">
        <v>3</v>
      </c>
      <c r="U236" s="1">
        <v>7</v>
      </c>
      <c r="V236"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36" s="1" t="s">
        <v>15</v>
      </c>
    </row>
    <row r="237" spans="1:23" x14ac:dyDescent="0.35">
      <c r="A237" s="1">
        <v>62</v>
      </c>
      <c r="B237" s="1" t="str">
        <f t="shared" si="3"/>
        <v>61-70</v>
      </c>
      <c r="C237" s="1">
        <v>0</v>
      </c>
      <c r="D237" s="1" t="str">
        <f>IF(Table2[[#This Row],[Sex]]=1,"Male", "Female")</f>
        <v>Female</v>
      </c>
      <c r="E237" s="1">
        <v>4</v>
      </c>
      <c r="F237" s="1" t="str">
        <f>IF(Table2[[#This Row],[Chest pain level]]=1, "Typical Angina", IF(Table2[[#This Row],[Chest pain level]]=2, "Atypical Angina", IF(Table2[[#This Row],[Chest pain level]]=3, "Non Anginal Pain", IF(Table2[[#This Row],[Chest pain level]]=4, "Asymptomatic"))))</f>
        <v>Asymptomatic</v>
      </c>
      <c r="G237" s="1">
        <v>160</v>
      </c>
      <c r="H237" s="1" t="str">
        <f>IF(Table2[[#This Row],[BP]]&lt;=120, "Normal",  IF(Table2[[#This Row],[BP]]&lt;=130, "Slightly Elevated", IF(Table2[[#This Row],[BP]]&lt;=140, "High", "Very High")))</f>
        <v>Very High</v>
      </c>
      <c r="I237" s="1">
        <v>164</v>
      </c>
      <c r="J237" s="1" t="str">
        <f>IF(Table2[[#This Row],[Cholesterol]]&gt;=240, "High", "Normal")</f>
        <v>Normal</v>
      </c>
      <c r="K237" s="1">
        <v>0</v>
      </c>
      <c r="L237" s="1" t="str">
        <f>IF(Table2[[#This Row],[FBS over 120]]=0, "Normal", "High")</f>
        <v>Normal</v>
      </c>
      <c r="M237" s="1">
        <v>2</v>
      </c>
      <c r="N237" s="1" t="str">
        <f>IF(Table2[[#This Row],[EKG results]]=0, "Normal", "Abnormal")</f>
        <v>Abnormal</v>
      </c>
      <c r="O237" s="1">
        <v>145</v>
      </c>
      <c r="P237" s="1">
        <v>0</v>
      </c>
      <c r="Q237" s="1" t="str">
        <f>IF(Table2[[#This Row],[Exercise angina]]=0, "Normal", "Abnormal")</f>
        <v>Normal</v>
      </c>
      <c r="R237" s="1">
        <v>6.2</v>
      </c>
      <c r="S237" s="1">
        <v>3</v>
      </c>
      <c r="T237" s="1">
        <v>3</v>
      </c>
      <c r="U237" s="1">
        <v>7</v>
      </c>
      <c r="V237"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37" s="1" t="s">
        <v>14</v>
      </c>
    </row>
    <row r="238" spans="1:23" x14ac:dyDescent="0.35">
      <c r="A238" s="1">
        <v>53</v>
      </c>
      <c r="B238" s="1" t="str">
        <f t="shared" si="3"/>
        <v>51-60</v>
      </c>
      <c r="C238" s="1">
        <v>0</v>
      </c>
      <c r="D238" s="1" t="str">
        <f>IF(Table2[[#This Row],[Sex]]=1,"Male", "Female")</f>
        <v>Female</v>
      </c>
      <c r="E238" s="1">
        <v>4</v>
      </c>
      <c r="F238" s="1" t="str">
        <f>IF(Table2[[#This Row],[Chest pain level]]=1, "Typical Angina", IF(Table2[[#This Row],[Chest pain level]]=2, "Atypical Angina", IF(Table2[[#This Row],[Chest pain level]]=3, "Non Anginal Pain", IF(Table2[[#This Row],[Chest pain level]]=4, "Asymptomatic"))))</f>
        <v>Asymptomatic</v>
      </c>
      <c r="G238" s="1">
        <v>138</v>
      </c>
      <c r="H238" s="1" t="str">
        <f>IF(Table2[[#This Row],[BP]]&lt;=120, "Normal",  IF(Table2[[#This Row],[BP]]&lt;=130, "Slightly Elevated", IF(Table2[[#This Row],[BP]]&lt;=140, "High", "Very High")))</f>
        <v>High</v>
      </c>
      <c r="I238" s="1">
        <v>234</v>
      </c>
      <c r="J238" s="1" t="str">
        <f>IF(Table2[[#This Row],[Cholesterol]]&gt;=240, "High", "Normal")</f>
        <v>Normal</v>
      </c>
      <c r="K238" s="1">
        <v>0</v>
      </c>
      <c r="L238" s="1" t="str">
        <f>IF(Table2[[#This Row],[FBS over 120]]=0, "Normal", "High")</f>
        <v>Normal</v>
      </c>
      <c r="M238" s="1">
        <v>2</v>
      </c>
      <c r="N238" s="1" t="str">
        <f>IF(Table2[[#This Row],[EKG results]]=0, "Normal", "Abnormal")</f>
        <v>Abnormal</v>
      </c>
      <c r="O238" s="1">
        <v>160</v>
      </c>
      <c r="P238" s="1">
        <v>0</v>
      </c>
      <c r="Q238" s="1" t="str">
        <f>IF(Table2[[#This Row],[Exercise angina]]=0, "Normal", "Abnormal")</f>
        <v>Normal</v>
      </c>
      <c r="R238" s="1">
        <v>0</v>
      </c>
      <c r="S238" s="1">
        <v>1</v>
      </c>
      <c r="T238" s="1">
        <v>0</v>
      </c>
      <c r="U238" s="1">
        <v>3</v>
      </c>
      <c r="V238"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38" s="1" t="s">
        <v>15</v>
      </c>
    </row>
    <row r="239" spans="1:23" x14ac:dyDescent="0.35">
      <c r="A239" s="1">
        <v>43</v>
      </c>
      <c r="B239" s="1" t="str">
        <f t="shared" si="3"/>
        <v>41-50</v>
      </c>
      <c r="C239" s="1">
        <v>1</v>
      </c>
      <c r="D239" s="1" t="str">
        <f>IF(Table2[[#This Row],[Sex]]=1,"Male", "Female")</f>
        <v>Male</v>
      </c>
      <c r="E239" s="1">
        <v>4</v>
      </c>
      <c r="F239" s="1" t="str">
        <f>IF(Table2[[#This Row],[Chest pain level]]=1, "Typical Angina", IF(Table2[[#This Row],[Chest pain level]]=2, "Atypical Angina", IF(Table2[[#This Row],[Chest pain level]]=3, "Non Anginal Pain", IF(Table2[[#This Row],[Chest pain level]]=4, "Asymptomatic"))))</f>
        <v>Asymptomatic</v>
      </c>
      <c r="G239" s="1">
        <v>120</v>
      </c>
      <c r="H239" s="1" t="str">
        <f>IF(Table2[[#This Row],[BP]]&lt;=120, "Normal",  IF(Table2[[#This Row],[BP]]&lt;=130, "Slightly Elevated", IF(Table2[[#This Row],[BP]]&lt;=140, "High", "Very High")))</f>
        <v>Normal</v>
      </c>
      <c r="I239" s="1">
        <v>177</v>
      </c>
      <c r="J239" s="1" t="str">
        <f>IF(Table2[[#This Row],[Cholesterol]]&gt;=240, "High", "Normal")</f>
        <v>Normal</v>
      </c>
      <c r="K239" s="1">
        <v>0</v>
      </c>
      <c r="L239" s="1" t="str">
        <f>IF(Table2[[#This Row],[FBS over 120]]=0, "Normal", "High")</f>
        <v>Normal</v>
      </c>
      <c r="M239" s="1">
        <v>2</v>
      </c>
      <c r="N239" s="1" t="str">
        <f>IF(Table2[[#This Row],[EKG results]]=0, "Normal", "Abnormal")</f>
        <v>Abnormal</v>
      </c>
      <c r="O239" s="1">
        <v>120</v>
      </c>
      <c r="P239" s="1">
        <v>1</v>
      </c>
      <c r="Q239" s="1" t="str">
        <f>IF(Table2[[#This Row],[Exercise angina]]=0, "Normal", "Abnormal")</f>
        <v>Abnormal</v>
      </c>
      <c r="R239" s="1">
        <v>2.5</v>
      </c>
      <c r="S239" s="1">
        <v>2</v>
      </c>
      <c r="T239" s="1">
        <v>0</v>
      </c>
      <c r="U239" s="1">
        <v>7</v>
      </c>
      <c r="V239"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39" s="1" t="s">
        <v>14</v>
      </c>
    </row>
    <row r="240" spans="1:23" x14ac:dyDescent="0.35">
      <c r="A240" s="1">
        <v>47</v>
      </c>
      <c r="B240" s="1" t="str">
        <f t="shared" si="3"/>
        <v>41-50</v>
      </c>
      <c r="C240" s="1">
        <v>1</v>
      </c>
      <c r="D240" s="1" t="str">
        <f>IF(Table2[[#This Row],[Sex]]=1,"Male", "Female")</f>
        <v>Male</v>
      </c>
      <c r="E240" s="1">
        <v>3</v>
      </c>
      <c r="F240" s="1" t="str">
        <f>IF(Table2[[#This Row],[Chest pain level]]=1, "Typical Angina", IF(Table2[[#This Row],[Chest pain level]]=2, "Atypical Angina", IF(Table2[[#This Row],[Chest pain level]]=3, "Non Anginal Pain", IF(Table2[[#This Row],[Chest pain level]]=4, "Asymptomatic"))))</f>
        <v>Non Anginal Pain</v>
      </c>
      <c r="G240" s="1">
        <v>138</v>
      </c>
      <c r="H240" s="1" t="str">
        <f>IF(Table2[[#This Row],[BP]]&lt;=120, "Normal",  IF(Table2[[#This Row],[BP]]&lt;=130, "Slightly Elevated", IF(Table2[[#This Row],[BP]]&lt;=140, "High", "Very High")))</f>
        <v>High</v>
      </c>
      <c r="I240" s="1">
        <v>257</v>
      </c>
      <c r="J240" s="1" t="str">
        <f>IF(Table2[[#This Row],[Cholesterol]]&gt;=240, "High", "Normal")</f>
        <v>High</v>
      </c>
      <c r="K240" s="1">
        <v>0</v>
      </c>
      <c r="L240" s="1" t="str">
        <f>IF(Table2[[#This Row],[FBS over 120]]=0, "Normal", "High")</f>
        <v>Normal</v>
      </c>
      <c r="M240" s="1">
        <v>2</v>
      </c>
      <c r="N240" s="1" t="str">
        <f>IF(Table2[[#This Row],[EKG results]]=0, "Normal", "Abnormal")</f>
        <v>Abnormal</v>
      </c>
      <c r="O240" s="1">
        <v>156</v>
      </c>
      <c r="P240" s="1">
        <v>0</v>
      </c>
      <c r="Q240" s="1" t="str">
        <f>IF(Table2[[#This Row],[Exercise angina]]=0, "Normal", "Abnormal")</f>
        <v>Normal</v>
      </c>
      <c r="R240" s="1">
        <v>0</v>
      </c>
      <c r="S240" s="1">
        <v>1</v>
      </c>
      <c r="T240" s="1">
        <v>0</v>
      </c>
      <c r="U240" s="1">
        <v>3</v>
      </c>
      <c r="V240"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40" s="1" t="s">
        <v>15</v>
      </c>
    </row>
    <row r="241" spans="1:23" x14ac:dyDescent="0.35">
      <c r="A241" s="1">
        <v>52</v>
      </c>
      <c r="B241" s="1" t="str">
        <f t="shared" si="3"/>
        <v>51-60</v>
      </c>
      <c r="C241" s="1">
        <v>1</v>
      </c>
      <c r="D241" s="1" t="str">
        <f>IF(Table2[[#This Row],[Sex]]=1,"Male", "Female")</f>
        <v>Male</v>
      </c>
      <c r="E241" s="1">
        <v>2</v>
      </c>
      <c r="F241" s="1" t="str">
        <f>IF(Table2[[#This Row],[Chest pain level]]=1, "Typical Angina", IF(Table2[[#This Row],[Chest pain level]]=2, "Atypical Angina", IF(Table2[[#This Row],[Chest pain level]]=3, "Non Anginal Pain", IF(Table2[[#This Row],[Chest pain level]]=4, "Asymptomatic"))))</f>
        <v>Atypical Angina</v>
      </c>
      <c r="G241" s="1">
        <v>120</v>
      </c>
      <c r="H241" s="1" t="str">
        <f>IF(Table2[[#This Row],[BP]]&lt;=120, "Normal",  IF(Table2[[#This Row],[BP]]&lt;=130, "Slightly Elevated", IF(Table2[[#This Row],[BP]]&lt;=140, "High", "Very High")))</f>
        <v>Normal</v>
      </c>
      <c r="I241" s="1">
        <v>325</v>
      </c>
      <c r="J241" s="1" t="str">
        <f>IF(Table2[[#This Row],[Cholesterol]]&gt;=240, "High", "Normal")</f>
        <v>High</v>
      </c>
      <c r="K241" s="1">
        <v>0</v>
      </c>
      <c r="L241" s="1" t="str">
        <f>IF(Table2[[#This Row],[FBS over 120]]=0, "Normal", "High")</f>
        <v>Normal</v>
      </c>
      <c r="M241" s="1">
        <v>0</v>
      </c>
      <c r="N241" s="1" t="str">
        <f>IF(Table2[[#This Row],[EKG results]]=0, "Normal", "Abnormal")</f>
        <v>Normal</v>
      </c>
      <c r="O241" s="1">
        <v>172</v>
      </c>
      <c r="P241" s="1">
        <v>0</v>
      </c>
      <c r="Q241" s="1" t="str">
        <f>IF(Table2[[#This Row],[Exercise angina]]=0, "Normal", "Abnormal")</f>
        <v>Normal</v>
      </c>
      <c r="R241" s="1">
        <v>0.2</v>
      </c>
      <c r="S241" s="1">
        <v>1</v>
      </c>
      <c r="T241" s="1">
        <v>0</v>
      </c>
      <c r="U241" s="1">
        <v>3</v>
      </c>
      <c r="V241"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41" s="1" t="s">
        <v>15</v>
      </c>
    </row>
    <row r="242" spans="1:23" x14ac:dyDescent="0.35">
      <c r="A242" s="1">
        <v>68</v>
      </c>
      <c r="B242" s="1" t="str">
        <f t="shared" si="3"/>
        <v>61-70</v>
      </c>
      <c r="C242" s="1">
        <v>1</v>
      </c>
      <c r="D242" s="1" t="str">
        <f>IF(Table2[[#This Row],[Sex]]=1,"Male", "Female")</f>
        <v>Male</v>
      </c>
      <c r="E242" s="1">
        <v>3</v>
      </c>
      <c r="F242" s="1" t="str">
        <f>IF(Table2[[#This Row],[Chest pain level]]=1, "Typical Angina", IF(Table2[[#This Row],[Chest pain level]]=2, "Atypical Angina", IF(Table2[[#This Row],[Chest pain level]]=3, "Non Anginal Pain", IF(Table2[[#This Row],[Chest pain level]]=4, "Asymptomatic"))))</f>
        <v>Non Anginal Pain</v>
      </c>
      <c r="G242" s="1">
        <v>180</v>
      </c>
      <c r="H242" s="1" t="str">
        <f>IF(Table2[[#This Row],[BP]]&lt;=120, "Normal",  IF(Table2[[#This Row],[BP]]&lt;=130, "Slightly Elevated", IF(Table2[[#This Row],[BP]]&lt;=140, "High", "Very High")))</f>
        <v>Very High</v>
      </c>
      <c r="I242" s="1">
        <v>274</v>
      </c>
      <c r="J242" s="1" t="str">
        <f>IF(Table2[[#This Row],[Cholesterol]]&gt;=240, "High", "Normal")</f>
        <v>High</v>
      </c>
      <c r="K242" s="1">
        <v>1</v>
      </c>
      <c r="L242" s="1" t="str">
        <f>IF(Table2[[#This Row],[FBS over 120]]=0, "Normal", "High")</f>
        <v>High</v>
      </c>
      <c r="M242" s="1">
        <v>2</v>
      </c>
      <c r="N242" s="1" t="str">
        <f>IF(Table2[[#This Row],[EKG results]]=0, "Normal", "Abnormal")</f>
        <v>Abnormal</v>
      </c>
      <c r="O242" s="1">
        <v>150</v>
      </c>
      <c r="P242" s="1">
        <v>1</v>
      </c>
      <c r="Q242" s="1" t="str">
        <f>IF(Table2[[#This Row],[Exercise angina]]=0, "Normal", "Abnormal")</f>
        <v>Abnormal</v>
      </c>
      <c r="R242" s="1">
        <v>1.6</v>
      </c>
      <c r="S242" s="1">
        <v>2</v>
      </c>
      <c r="T242" s="1">
        <v>0</v>
      </c>
      <c r="U242" s="1">
        <v>7</v>
      </c>
      <c r="V242"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42" s="1" t="s">
        <v>14</v>
      </c>
    </row>
    <row r="243" spans="1:23" x14ac:dyDescent="0.35">
      <c r="A243" s="1">
        <v>39</v>
      </c>
      <c r="B243" s="1" t="str">
        <f t="shared" si="3"/>
        <v>31-40</v>
      </c>
      <c r="C243" s="1">
        <v>1</v>
      </c>
      <c r="D243" s="1" t="str">
        <f>IF(Table2[[#This Row],[Sex]]=1,"Male", "Female")</f>
        <v>Male</v>
      </c>
      <c r="E243" s="1">
        <v>3</v>
      </c>
      <c r="F243" s="1" t="str">
        <f>IF(Table2[[#This Row],[Chest pain level]]=1, "Typical Angina", IF(Table2[[#This Row],[Chest pain level]]=2, "Atypical Angina", IF(Table2[[#This Row],[Chest pain level]]=3, "Non Anginal Pain", IF(Table2[[#This Row],[Chest pain level]]=4, "Asymptomatic"))))</f>
        <v>Non Anginal Pain</v>
      </c>
      <c r="G243" s="1">
        <v>140</v>
      </c>
      <c r="H243" s="1" t="str">
        <f>IF(Table2[[#This Row],[BP]]&lt;=120, "Normal",  IF(Table2[[#This Row],[BP]]&lt;=130, "Slightly Elevated", IF(Table2[[#This Row],[BP]]&lt;=140, "High", "Very High")))</f>
        <v>High</v>
      </c>
      <c r="I243" s="1">
        <v>321</v>
      </c>
      <c r="J243" s="1" t="str">
        <f>IF(Table2[[#This Row],[Cholesterol]]&gt;=240, "High", "Normal")</f>
        <v>High</v>
      </c>
      <c r="K243" s="1">
        <v>0</v>
      </c>
      <c r="L243" s="1" t="str">
        <f>IF(Table2[[#This Row],[FBS over 120]]=0, "Normal", "High")</f>
        <v>Normal</v>
      </c>
      <c r="M243" s="1">
        <v>2</v>
      </c>
      <c r="N243" s="1" t="str">
        <f>IF(Table2[[#This Row],[EKG results]]=0, "Normal", "Abnormal")</f>
        <v>Abnormal</v>
      </c>
      <c r="O243" s="1">
        <v>182</v>
      </c>
      <c r="P243" s="1">
        <v>0</v>
      </c>
      <c r="Q243" s="1" t="str">
        <f>IF(Table2[[#This Row],[Exercise angina]]=0, "Normal", "Abnormal")</f>
        <v>Normal</v>
      </c>
      <c r="R243" s="1">
        <v>0</v>
      </c>
      <c r="S243" s="1">
        <v>1</v>
      </c>
      <c r="T243" s="1">
        <v>0</v>
      </c>
      <c r="U243" s="1">
        <v>3</v>
      </c>
      <c r="V243"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43" s="1" t="s">
        <v>15</v>
      </c>
    </row>
    <row r="244" spans="1:23" x14ac:dyDescent="0.35">
      <c r="A244" s="1">
        <v>53</v>
      </c>
      <c r="B244" s="1" t="str">
        <f t="shared" si="3"/>
        <v>51-60</v>
      </c>
      <c r="C244" s="1">
        <v>0</v>
      </c>
      <c r="D244" s="1" t="str">
        <f>IF(Table2[[#This Row],[Sex]]=1,"Male", "Female")</f>
        <v>Female</v>
      </c>
      <c r="E244" s="1">
        <v>4</v>
      </c>
      <c r="F244" s="1" t="str">
        <f>IF(Table2[[#This Row],[Chest pain level]]=1, "Typical Angina", IF(Table2[[#This Row],[Chest pain level]]=2, "Atypical Angina", IF(Table2[[#This Row],[Chest pain level]]=3, "Non Anginal Pain", IF(Table2[[#This Row],[Chest pain level]]=4, "Asymptomatic"))))</f>
        <v>Asymptomatic</v>
      </c>
      <c r="G244" s="1">
        <v>130</v>
      </c>
      <c r="H244" s="1" t="str">
        <f>IF(Table2[[#This Row],[BP]]&lt;=120, "Normal",  IF(Table2[[#This Row],[BP]]&lt;=130, "Slightly Elevated", IF(Table2[[#This Row],[BP]]&lt;=140, "High", "Very High")))</f>
        <v>Slightly Elevated</v>
      </c>
      <c r="I244" s="1">
        <v>264</v>
      </c>
      <c r="J244" s="1" t="str">
        <f>IF(Table2[[#This Row],[Cholesterol]]&gt;=240, "High", "Normal")</f>
        <v>High</v>
      </c>
      <c r="K244" s="1">
        <v>0</v>
      </c>
      <c r="L244" s="1" t="str">
        <f>IF(Table2[[#This Row],[FBS over 120]]=0, "Normal", "High")</f>
        <v>Normal</v>
      </c>
      <c r="M244" s="1">
        <v>2</v>
      </c>
      <c r="N244" s="1" t="str">
        <f>IF(Table2[[#This Row],[EKG results]]=0, "Normal", "Abnormal")</f>
        <v>Abnormal</v>
      </c>
      <c r="O244" s="1">
        <v>143</v>
      </c>
      <c r="P244" s="1">
        <v>0</v>
      </c>
      <c r="Q244" s="1" t="str">
        <f>IF(Table2[[#This Row],[Exercise angina]]=0, "Normal", "Abnormal")</f>
        <v>Normal</v>
      </c>
      <c r="R244" s="1">
        <v>0.4</v>
      </c>
      <c r="S244" s="1">
        <v>2</v>
      </c>
      <c r="T244" s="1">
        <v>0</v>
      </c>
      <c r="U244" s="1">
        <v>3</v>
      </c>
      <c r="V244"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44" s="1" t="s">
        <v>15</v>
      </c>
    </row>
    <row r="245" spans="1:23" x14ac:dyDescent="0.35">
      <c r="A245" s="1">
        <v>62</v>
      </c>
      <c r="B245" s="1" t="str">
        <f t="shared" si="3"/>
        <v>61-70</v>
      </c>
      <c r="C245" s="1">
        <v>0</v>
      </c>
      <c r="D245" s="1" t="str">
        <f>IF(Table2[[#This Row],[Sex]]=1,"Male", "Female")</f>
        <v>Female</v>
      </c>
      <c r="E245" s="1">
        <v>4</v>
      </c>
      <c r="F245" s="1" t="str">
        <f>IF(Table2[[#This Row],[Chest pain level]]=1, "Typical Angina", IF(Table2[[#This Row],[Chest pain level]]=2, "Atypical Angina", IF(Table2[[#This Row],[Chest pain level]]=3, "Non Anginal Pain", IF(Table2[[#This Row],[Chest pain level]]=4, "Asymptomatic"))))</f>
        <v>Asymptomatic</v>
      </c>
      <c r="G245" s="1">
        <v>140</v>
      </c>
      <c r="H245" s="1" t="str">
        <f>IF(Table2[[#This Row],[BP]]&lt;=120, "Normal",  IF(Table2[[#This Row],[BP]]&lt;=130, "Slightly Elevated", IF(Table2[[#This Row],[BP]]&lt;=140, "High", "Very High")))</f>
        <v>High</v>
      </c>
      <c r="I245" s="1">
        <v>268</v>
      </c>
      <c r="J245" s="1" t="str">
        <f>IF(Table2[[#This Row],[Cholesterol]]&gt;=240, "High", "Normal")</f>
        <v>High</v>
      </c>
      <c r="K245" s="1">
        <v>0</v>
      </c>
      <c r="L245" s="1" t="str">
        <f>IF(Table2[[#This Row],[FBS over 120]]=0, "Normal", "High")</f>
        <v>Normal</v>
      </c>
      <c r="M245" s="1">
        <v>2</v>
      </c>
      <c r="N245" s="1" t="str">
        <f>IF(Table2[[#This Row],[EKG results]]=0, "Normal", "Abnormal")</f>
        <v>Abnormal</v>
      </c>
      <c r="O245" s="1">
        <v>160</v>
      </c>
      <c r="P245" s="1">
        <v>0</v>
      </c>
      <c r="Q245" s="1" t="str">
        <f>IF(Table2[[#This Row],[Exercise angina]]=0, "Normal", "Abnormal")</f>
        <v>Normal</v>
      </c>
      <c r="R245" s="1">
        <v>3.6</v>
      </c>
      <c r="S245" s="1">
        <v>3</v>
      </c>
      <c r="T245" s="1">
        <v>2</v>
      </c>
      <c r="U245" s="1">
        <v>3</v>
      </c>
      <c r="V245"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45" s="1" t="s">
        <v>14</v>
      </c>
    </row>
    <row r="246" spans="1:23" x14ac:dyDescent="0.35">
      <c r="A246" s="1">
        <v>51</v>
      </c>
      <c r="B246" s="1" t="str">
        <f t="shared" si="3"/>
        <v>51-60</v>
      </c>
      <c r="C246" s="1">
        <v>0</v>
      </c>
      <c r="D246" s="1" t="str">
        <f>IF(Table2[[#This Row],[Sex]]=1,"Male", "Female")</f>
        <v>Female</v>
      </c>
      <c r="E246" s="1">
        <v>3</v>
      </c>
      <c r="F246" s="1" t="str">
        <f>IF(Table2[[#This Row],[Chest pain level]]=1, "Typical Angina", IF(Table2[[#This Row],[Chest pain level]]=2, "Atypical Angina", IF(Table2[[#This Row],[Chest pain level]]=3, "Non Anginal Pain", IF(Table2[[#This Row],[Chest pain level]]=4, "Asymptomatic"))))</f>
        <v>Non Anginal Pain</v>
      </c>
      <c r="G246" s="1">
        <v>140</v>
      </c>
      <c r="H246" s="1" t="str">
        <f>IF(Table2[[#This Row],[BP]]&lt;=120, "Normal",  IF(Table2[[#This Row],[BP]]&lt;=130, "Slightly Elevated", IF(Table2[[#This Row],[BP]]&lt;=140, "High", "Very High")))</f>
        <v>High</v>
      </c>
      <c r="I246" s="1">
        <v>308</v>
      </c>
      <c r="J246" s="1" t="str">
        <f>IF(Table2[[#This Row],[Cholesterol]]&gt;=240, "High", "Normal")</f>
        <v>High</v>
      </c>
      <c r="K246" s="1">
        <v>0</v>
      </c>
      <c r="L246" s="1" t="str">
        <f>IF(Table2[[#This Row],[FBS over 120]]=0, "Normal", "High")</f>
        <v>Normal</v>
      </c>
      <c r="M246" s="1">
        <v>2</v>
      </c>
      <c r="N246" s="1" t="str">
        <f>IF(Table2[[#This Row],[EKG results]]=0, "Normal", "Abnormal")</f>
        <v>Abnormal</v>
      </c>
      <c r="O246" s="1">
        <v>142</v>
      </c>
      <c r="P246" s="1">
        <v>0</v>
      </c>
      <c r="Q246" s="1" t="str">
        <f>IF(Table2[[#This Row],[Exercise angina]]=0, "Normal", "Abnormal")</f>
        <v>Normal</v>
      </c>
      <c r="R246" s="1">
        <v>1.5</v>
      </c>
      <c r="S246" s="1">
        <v>1</v>
      </c>
      <c r="T246" s="1">
        <v>1</v>
      </c>
      <c r="U246" s="1">
        <v>3</v>
      </c>
      <c r="V246"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46" s="1" t="s">
        <v>15</v>
      </c>
    </row>
    <row r="247" spans="1:23" x14ac:dyDescent="0.35">
      <c r="A247" s="1">
        <v>60</v>
      </c>
      <c r="B247" s="1" t="str">
        <f t="shared" si="3"/>
        <v>51-60</v>
      </c>
      <c r="C247" s="1">
        <v>1</v>
      </c>
      <c r="D247" s="1" t="str">
        <f>IF(Table2[[#This Row],[Sex]]=1,"Male", "Female")</f>
        <v>Male</v>
      </c>
      <c r="E247" s="1">
        <v>4</v>
      </c>
      <c r="F247" s="1" t="str">
        <f>IF(Table2[[#This Row],[Chest pain level]]=1, "Typical Angina", IF(Table2[[#This Row],[Chest pain level]]=2, "Atypical Angina", IF(Table2[[#This Row],[Chest pain level]]=3, "Non Anginal Pain", IF(Table2[[#This Row],[Chest pain level]]=4, "Asymptomatic"))))</f>
        <v>Asymptomatic</v>
      </c>
      <c r="G247" s="1">
        <v>130</v>
      </c>
      <c r="H247" s="1" t="str">
        <f>IF(Table2[[#This Row],[BP]]&lt;=120, "Normal",  IF(Table2[[#This Row],[BP]]&lt;=130, "Slightly Elevated", IF(Table2[[#This Row],[BP]]&lt;=140, "High", "Very High")))</f>
        <v>Slightly Elevated</v>
      </c>
      <c r="I247" s="1">
        <v>253</v>
      </c>
      <c r="J247" s="1" t="str">
        <f>IF(Table2[[#This Row],[Cholesterol]]&gt;=240, "High", "Normal")</f>
        <v>High</v>
      </c>
      <c r="K247" s="1">
        <v>0</v>
      </c>
      <c r="L247" s="1" t="str">
        <f>IF(Table2[[#This Row],[FBS over 120]]=0, "Normal", "High")</f>
        <v>Normal</v>
      </c>
      <c r="M247" s="1">
        <v>0</v>
      </c>
      <c r="N247" s="1" t="str">
        <f>IF(Table2[[#This Row],[EKG results]]=0, "Normal", "Abnormal")</f>
        <v>Normal</v>
      </c>
      <c r="O247" s="1">
        <v>144</v>
      </c>
      <c r="P247" s="1">
        <v>1</v>
      </c>
      <c r="Q247" s="1" t="str">
        <f>IF(Table2[[#This Row],[Exercise angina]]=0, "Normal", "Abnormal")</f>
        <v>Abnormal</v>
      </c>
      <c r="R247" s="1">
        <v>1.4</v>
      </c>
      <c r="S247" s="1">
        <v>1</v>
      </c>
      <c r="T247" s="1">
        <v>1</v>
      </c>
      <c r="U247" s="1">
        <v>7</v>
      </c>
      <c r="V247"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47" s="1" t="s">
        <v>14</v>
      </c>
    </row>
    <row r="248" spans="1:23" x14ac:dyDescent="0.35">
      <c r="A248" s="1">
        <v>65</v>
      </c>
      <c r="B248" s="1" t="str">
        <f t="shared" si="3"/>
        <v>61-70</v>
      </c>
      <c r="C248" s="1">
        <v>1</v>
      </c>
      <c r="D248" s="1" t="str">
        <f>IF(Table2[[#This Row],[Sex]]=1,"Male", "Female")</f>
        <v>Male</v>
      </c>
      <c r="E248" s="1">
        <v>4</v>
      </c>
      <c r="F248" s="1" t="str">
        <f>IF(Table2[[#This Row],[Chest pain level]]=1, "Typical Angina", IF(Table2[[#This Row],[Chest pain level]]=2, "Atypical Angina", IF(Table2[[#This Row],[Chest pain level]]=3, "Non Anginal Pain", IF(Table2[[#This Row],[Chest pain level]]=4, "Asymptomatic"))))</f>
        <v>Asymptomatic</v>
      </c>
      <c r="G248" s="1">
        <v>110</v>
      </c>
      <c r="H248" s="1" t="str">
        <f>IF(Table2[[#This Row],[BP]]&lt;=120, "Normal",  IF(Table2[[#This Row],[BP]]&lt;=130, "Slightly Elevated", IF(Table2[[#This Row],[BP]]&lt;=140, "High", "Very High")))</f>
        <v>Normal</v>
      </c>
      <c r="I248" s="1">
        <v>248</v>
      </c>
      <c r="J248" s="1" t="str">
        <f>IF(Table2[[#This Row],[Cholesterol]]&gt;=240, "High", "Normal")</f>
        <v>High</v>
      </c>
      <c r="K248" s="1">
        <v>0</v>
      </c>
      <c r="L248" s="1" t="str">
        <f>IF(Table2[[#This Row],[FBS over 120]]=0, "Normal", "High")</f>
        <v>Normal</v>
      </c>
      <c r="M248" s="1">
        <v>2</v>
      </c>
      <c r="N248" s="1" t="str">
        <f>IF(Table2[[#This Row],[EKG results]]=0, "Normal", "Abnormal")</f>
        <v>Abnormal</v>
      </c>
      <c r="O248" s="1">
        <v>158</v>
      </c>
      <c r="P248" s="1">
        <v>0</v>
      </c>
      <c r="Q248" s="1" t="str">
        <f>IF(Table2[[#This Row],[Exercise angina]]=0, "Normal", "Abnormal")</f>
        <v>Normal</v>
      </c>
      <c r="R248" s="1">
        <v>0.6</v>
      </c>
      <c r="S248" s="1">
        <v>1</v>
      </c>
      <c r="T248" s="1">
        <v>2</v>
      </c>
      <c r="U248" s="1">
        <v>6</v>
      </c>
      <c r="V248"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48" s="1" t="s">
        <v>14</v>
      </c>
    </row>
    <row r="249" spans="1:23" x14ac:dyDescent="0.35">
      <c r="A249" s="1">
        <v>65</v>
      </c>
      <c r="B249" s="1" t="str">
        <f t="shared" si="3"/>
        <v>61-70</v>
      </c>
      <c r="C249" s="1">
        <v>0</v>
      </c>
      <c r="D249" s="1" t="str">
        <f>IF(Table2[[#This Row],[Sex]]=1,"Male", "Female")</f>
        <v>Female</v>
      </c>
      <c r="E249" s="1">
        <v>3</v>
      </c>
      <c r="F249" s="1" t="str">
        <f>IF(Table2[[#This Row],[Chest pain level]]=1, "Typical Angina", IF(Table2[[#This Row],[Chest pain level]]=2, "Atypical Angina", IF(Table2[[#This Row],[Chest pain level]]=3, "Non Anginal Pain", IF(Table2[[#This Row],[Chest pain level]]=4, "Asymptomatic"))))</f>
        <v>Non Anginal Pain</v>
      </c>
      <c r="G249" s="1">
        <v>155</v>
      </c>
      <c r="H249" s="1" t="str">
        <f>IF(Table2[[#This Row],[BP]]&lt;=120, "Normal",  IF(Table2[[#This Row],[BP]]&lt;=130, "Slightly Elevated", IF(Table2[[#This Row],[BP]]&lt;=140, "High", "Very High")))</f>
        <v>Very High</v>
      </c>
      <c r="I249" s="1">
        <v>269</v>
      </c>
      <c r="J249" s="1" t="str">
        <f>IF(Table2[[#This Row],[Cholesterol]]&gt;=240, "High", "Normal")</f>
        <v>High</v>
      </c>
      <c r="K249" s="1">
        <v>0</v>
      </c>
      <c r="L249" s="1" t="str">
        <f>IF(Table2[[#This Row],[FBS over 120]]=0, "Normal", "High")</f>
        <v>Normal</v>
      </c>
      <c r="M249" s="1">
        <v>0</v>
      </c>
      <c r="N249" s="1" t="str">
        <f>IF(Table2[[#This Row],[EKG results]]=0, "Normal", "Abnormal")</f>
        <v>Normal</v>
      </c>
      <c r="O249" s="1">
        <v>148</v>
      </c>
      <c r="P249" s="1">
        <v>0</v>
      </c>
      <c r="Q249" s="1" t="str">
        <f>IF(Table2[[#This Row],[Exercise angina]]=0, "Normal", "Abnormal")</f>
        <v>Normal</v>
      </c>
      <c r="R249" s="1">
        <v>0.8</v>
      </c>
      <c r="S249" s="1">
        <v>1</v>
      </c>
      <c r="T249" s="1">
        <v>0</v>
      </c>
      <c r="U249" s="1">
        <v>3</v>
      </c>
      <c r="V249"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49" s="1" t="s">
        <v>15</v>
      </c>
    </row>
    <row r="250" spans="1:23" x14ac:dyDescent="0.35">
      <c r="A250" s="1">
        <v>60</v>
      </c>
      <c r="B250" s="1" t="str">
        <f t="shared" si="3"/>
        <v>51-60</v>
      </c>
      <c r="C250" s="1">
        <v>1</v>
      </c>
      <c r="D250" s="1" t="str">
        <f>IF(Table2[[#This Row],[Sex]]=1,"Male", "Female")</f>
        <v>Male</v>
      </c>
      <c r="E250" s="1">
        <v>3</v>
      </c>
      <c r="F250" s="1" t="str">
        <f>IF(Table2[[#This Row],[Chest pain level]]=1, "Typical Angina", IF(Table2[[#This Row],[Chest pain level]]=2, "Atypical Angina", IF(Table2[[#This Row],[Chest pain level]]=3, "Non Anginal Pain", IF(Table2[[#This Row],[Chest pain level]]=4, "Asymptomatic"))))</f>
        <v>Non Anginal Pain</v>
      </c>
      <c r="G250" s="1">
        <v>140</v>
      </c>
      <c r="H250" s="1" t="str">
        <f>IF(Table2[[#This Row],[BP]]&lt;=120, "Normal",  IF(Table2[[#This Row],[BP]]&lt;=130, "Slightly Elevated", IF(Table2[[#This Row],[BP]]&lt;=140, "High", "Very High")))</f>
        <v>High</v>
      </c>
      <c r="I250" s="1">
        <v>185</v>
      </c>
      <c r="J250" s="1" t="str">
        <f>IF(Table2[[#This Row],[Cholesterol]]&gt;=240, "High", "Normal")</f>
        <v>Normal</v>
      </c>
      <c r="K250" s="1">
        <v>0</v>
      </c>
      <c r="L250" s="1" t="str">
        <f>IF(Table2[[#This Row],[FBS over 120]]=0, "Normal", "High")</f>
        <v>Normal</v>
      </c>
      <c r="M250" s="1">
        <v>2</v>
      </c>
      <c r="N250" s="1" t="str">
        <f>IF(Table2[[#This Row],[EKG results]]=0, "Normal", "Abnormal")</f>
        <v>Abnormal</v>
      </c>
      <c r="O250" s="1">
        <v>155</v>
      </c>
      <c r="P250" s="1">
        <v>0</v>
      </c>
      <c r="Q250" s="1" t="str">
        <f>IF(Table2[[#This Row],[Exercise angina]]=0, "Normal", "Abnormal")</f>
        <v>Normal</v>
      </c>
      <c r="R250" s="1">
        <v>3</v>
      </c>
      <c r="S250" s="1">
        <v>2</v>
      </c>
      <c r="T250" s="1">
        <v>0</v>
      </c>
      <c r="U250" s="1">
        <v>3</v>
      </c>
      <c r="V250"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50" s="1" t="s">
        <v>14</v>
      </c>
    </row>
    <row r="251" spans="1:23" x14ac:dyDescent="0.35">
      <c r="A251" s="1">
        <v>60</v>
      </c>
      <c r="B251" s="1" t="str">
        <f t="shared" si="3"/>
        <v>51-60</v>
      </c>
      <c r="C251" s="1">
        <v>1</v>
      </c>
      <c r="D251" s="1" t="str">
        <f>IF(Table2[[#This Row],[Sex]]=1,"Male", "Female")</f>
        <v>Male</v>
      </c>
      <c r="E251" s="1">
        <v>4</v>
      </c>
      <c r="F251" s="1" t="str">
        <f>IF(Table2[[#This Row],[Chest pain level]]=1, "Typical Angina", IF(Table2[[#This Row],[Chest pain level]]=2, "Atypical Angina", IF(Table2[[#This Row],[Chest pain level]]=3, "Non Anginal Pain", IF(Table2[[#This Row],[Chest pain level]]=4, "Asymptomatic"))))</f>
        <v>Asymptomatic</v>
      </c>
      <c r="G251" s="1">
        <v>145</v>
      </c>
      <c r="H251" s="1" t="str">
        <f>IF(Table2[[#This Row],[BP]]&lt;=120, "Normal",  IF(Table2[[#This Row],[BP]]&lt;=130, "Slightly Elevated", IF(Table2[[#This Row],[BP]]&lt;=140, "High", "Very High")))</f>
        <v>Very High</v>
      </c>
      <c r="I251" s="1">
        <v>282</v>
      </c>
      <c r="J251" s="1" t="str">
        <f>IF(Table2[[#This Row],[Cholesterol]]&gt;=240, "High", "Normal")</f>
        <v>High</v>
      </c>
      <c r="K251" s="1">
        <v>0</v>
      </c>
      <c r="L251" s="1" t="str">
        <f>IF(Table2[[#This Row],[FBS over 120]]=0, "Normal", "High")</f>
        <v>Normal</v>
      </c>
      <c r="M251" s="1">
        <v>2</v>
      </c>
      <c r="N251" s="1" t="str">
        <f>IF(Table2[[#This Row],[EKG results]]=0, "Normal", "Abnormal")</f>
        <v>Abnormal</v>
      </c>
      <c r="O251" s="1">
        <v>142</v>
      </c>
      <c r="P251" s="1">
        <v>1</v>
      </c>
      <c r="Q251" s="1" t="str">
        <f>IF(Table2[[#This Row],[Exercise angina]]=0, "Normal", "Abnormal")</f>
        <v>Abnormal</v>
      </c>
      <c r="R251" s="1">
        <v>2.8</v>
      </c>
      <c r="S251" s="1">
        <v>2</v>
      </c>
      <c r="T251" s="1">
        <v>2</v>
      </c>
      <c r="U251" s="1">
        <v>7</v>
      </c>
      <c r="V251"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51" s="1" t="s">
        <v>14</v>
      </c>
    </row>
    <row r="252" spans="1:23" x14ac:dyDescent="0.35">
      <c r="A252" s="1">
        <v>54</v>
      </c>
      <c r="B252" s="1" t="str">
        <f t="shared" si="3"/>
        <v>51-60</v>
      </c>
      <c r="C252" s="1">
        <v>1</v>
      </c>
      <c r="D252" s="1" t="str">
        <f>IF(Table2[[#This Row],[Sex]]=1,"Male", "Female")</f>
        <v>Male</v>
      </c>
      <c r="E252" s="1">
        <v>4</v>
      </c>
      <c r="F252" s="1" t="str">
        <f>IF(Table2[[#This Row],[Chest pain level]]=1, "Typical Angina", IF(Table2[[#This Row],[Chest pain level]]=2, "Atypical Angina", IF(Table2[[#This Row],[Chest pain level]]=3, "Non Anginal Pain", IF(Table2[[#This Row],[Chest pain level]]=4, "Asymptomatic"))))</f>
        <v>Asymptomatic</v>
      </c>
      <c r="G252" s="1">
        <v>120</v>
      </c>
      <c r="H252" s="1" t="str">
        <f>IF(Table2[[#This Row],[BP]]&lt;=120, "Normal",  IF(Table2[[#This Row],[BP]]&lt;=130, "Slightly Elevated", IF(Table2[[#This Row],[BP]]&lt;=140, "High", "Very High")))</f>
        <v>Normal</v>
      </c>
      <c r="I252" s="1">
        <v>188</v>
      </c>
      <c r="J252" s="1" t="str">
        <f>IF(Table2[[#This Row],[Cholesterol]]&gt;=240, "High", "Normal")</f>
        <v>Normal</v>
      </c>
      <c r="K252" s="1">
        <v>0</v>
      </c>
      <c r="L252" s="1" t="str">
        <f>IF(Table2[[#This Row],[FBS over 120]]=0, "Normal", "High")</f>
        <v>Normal</v>
      </c>
      <c r="M252" s="1">
        <v>0</v>
      </c>
      <c r="N252" s="1" t="str">
        <f>IF(Table2[[#This Row],[EKG results]]=0, "Normal", "Abnormal")</f>
        <v>Normal</v>
      </c>
      <c r="O252" s="1">
        <v>113</v>
      </c>
      <c r="P252" s="1">
        <v>0</v>
      </c>
      <c r="Q252" s="1" t="str">
        <f>IF(Table2[[#This Row],[Exercise angina]]=0, "Normal", "Abnormal")</f>
        <v>Normal</v>
      </c>
      <c r="R252" s="1">
        <v>1.4</v>
      </c>
      <c r="S252" s="1">
        <v>2</v>
      </c>
      <c r="T252" s="1">
        <v>1</v>
      </c>
      <c r="U252" s="1">
        <v>7</v>
      </c>
      <c r="V252"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52" s="1" t="s">
        <v>14</v>
      </c>
    </row>
    <row r="253" spans="1:23" x14ac:dyDescent="0.35">
      <c r="A253" s="1">
        <v>44</v>
      </c>
      <c r="B253" s="1" t="str">
        <f t="shared" si="3"/>
        <v>41-50</v>
      </c>
      <c r="C253" s="1">
        <v>1</v>
      </c>
      <c r="D253" s="1" t="str">
        <f>IF(Table2[[#This Row],[Sex]]=1,"Male", "Female")</f>
        <v>Male</v>
      </c>
      <c r="E253" s="1">
        <v>2</v>
      </c>
      <c r="F253" s="1" t="str">
        <f>IF(Table2[[#This Row],[Chest pain level]]=1, "Typical Angina", IF(Table2[[#This Row],[Chest pain level]]=2, "Atypical Angina", IF(Table2[[#This Row],[Chest pain level]]=3, "Non Anginal Pain", IF(Table2[[#This Row],[Chest pain level]]=4, "Asymptomatic"))))</f>
        <v>Atypical Angina</v>
      </c>
      <c r="G253" s="1">
        <v>130</v>
      </c>
      <c r="H253" s="1" t="str">
        <f>IF(Table2[[#This Row],[BP]]&lt;=120, "Normal",  IF(Table2[[#This Row],[BP]]&lt;=130, "Slightly Elevated", IF(Table2[[#This Row],[BP]]&lt;=140, "High", "Very High")))</f>
        <v>Slightly Elevated</v>
      </c>
      <c r="I253" s="1">
        <v>219</v>
      </c>
      <c r="J253" s="1" t="str">
        <f>IF(Table2[[#This Row],[Cholesterol]]&gt;=240, "High", "Normal")</f>
        <v>Normal</v>
      </c>
      <c r="K253" s="1">
        <v>0</v>
      </c>
      <c r="L253" s="1" t="str">
        <f>IF(Table2[[#This Row],[FBS over 120]]=0, "Normal", "High")</f>
        <v>Normal</v>
      </c>
      <c r="M253" s="1">
        <v>2</v>
      </c>
      <c r="N253" s="1" t="str">
        <f>IF(Table2[[#This Row],[EKG results]]=0, "Normal", "Abnormal")</f>
        <v>Abnormal</v>
      </c>
      <c r="O253" s="1">
        <v>188</v>
      </c>
      <c r="P253" s="1">
        <v>0</v>
      </c>
      <c r="Q253" s="1" t="str">
        <f>IF(Table2[[#This Row],[Exercise angina]]=0, "Normal", "Abnormal")</f>
        <v>Normal</v>
      </c>
      <c r="R253" s="1">
        <v>0</v>
      </c>
      <c r="S253" s="1">
        <v>1</v>
      </c>
      <c r="T253" s="1">
        <v>0</v>
      </c>
      <c r="U253" s="1">
        <v>3</v>
      </c>
      <c r="V253"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53" s="1" t="s">
        <v>15</v>
      </c>
    </row>
    <row r="254" spans="1:23" x14ac:dyDescent="0.35">
      <c r="A254" s="1">
        <v>44</v>
      </c>
      <c r="B254" s="1" t="str">
        <f t="shared" si="3"/>
        <v>41-50</v>
      </c>
      <c r="C254" s="1">
        <v>1</v>
      </c>
      <c r="D254" s="1" t="str">
        <f>IF(Table2[[#This Row],[Sex]]=1,"Male", "Female")</f>
        <v>Male</v>
      </c>
      <c r="E254" s="1">
        <v>4</v>
      </c>
      <c r="F254" s="1" t="str">
        <f>IF(Table2[[#This Row],[Chest pain level]]=1, "Typical Angina", IF(Table2[[#This Row],[Chest pain level]]=2, "Atypical Angina", IF(Table2[[#This Row],[Chest pain level]]=3, "Non Anginal Pain", IF(Table2[[#This Row],[Chest pain level]]=4, "Asymptomatic"))))</f>
        <v>Asymptomatic</v>
      </c>
      <c r="G254" s="1">
        <v>112</v>
      </c>
      <c r="H254" s="1" t="str">
        <f>IF(Table2[[#This Row],[BP]]&lt;=120, "Normal",  IF(Table2[[#This Row],[BP]]&lt;=130, "Slightly Elevated", IF(Table2[[#This Row],[BP]]&lt;=140, "High", "Very High")))</f>
        <v>Normal</v>
      </c>
      <c r="I254" s="1">
        <v>290</v>
      </c>
      <c r="J254" s="1" t="str">
        <f>IF(Table2[[#This Row],[Cholesterol]]&gt;=240, "High", "Normal")</f>
        <v>High</v>
      </c>
      <c r="K254" s="1">
        <v>0</v>
      </c>
      <c r="L254" s="1" t="str">
        <f>IF(Table2[[#This Row],[FBS over 120]]=0, "Normal", "High")</f>
        <v>Normal</v>
      </c>
      <c r="M254" s="1">
        <v>2</v>
      </c>
      <c r="N254" s="1" t="str">
        <f>IF(Table2[[#This Row],[EKG results]]=0, "Normal", "Abnormal")</f>
        <v>Abnormal</v>
      </c>
      <c r="O254" s="1">
        <v>153</v>
      </c>
      <c r="P254" s="1">
        <v>0</v>
      </c>
      <c r="Q254" s="1" t="str">
        <f>IF(Table2[[#This Row],[Exercise angina]]=0, "Normal", "Abnormal")</f>
        <v>Normal</v>
      </c>
      <c r="R254" s="1">
        <v>0</v>
      </c>
      <c r="S254" s="1">
        <v>1</v>
      </c>
      <c r="T254" s="1">
        <v>1</v>
      </c>
      <c r="U254" s="1">
        <v>3</v>
      </c>
      <c r="V254"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54" s="1" t="s">
        <v>14</v>
      </c>
    </row>
    <row r="255" spans="1:23" x14ac:dyDescent="0.35">
      <c r="A255" s="1">
        <v>51</v>
      </c>
      <c r="B255" s="1" t="str">
        <f t="shared" si="3"/>
        <v>51-60</v>
      </c>
      <c r="C255" s="1">
        <v>1</v>
      </c>
      <c r="D255" s="1" t="str">
        <f>IF(Table2[[#This Row],[Sex]]=1,"Male", "Female")</f>
        <v>Male</v>
      </c>
      <c r="E255" s="1">
        <v>3</v>
      </c>
      <c r="F255" s="1" t="str">
        <f>IF(Table2[[#This Row],[Chest pain level]]=1, "Typical Angina", IF(Table2[[#This Row],[Chest pain level]]=2, "Atypical Angina", IF(Table2[[#This Row],[Chest pain level]]=3, "Non Anginal Pain", IF(Table2[[#This Row],[Chest pain level]]=4, "Asymptomatic"))))</f>
        <v>Non Anginal Pain</v>
      </c>
      <c r="G255" s="1">
        <v>110</v>
      </c>
      <c r="H255" s="1" t="str">
        <f>IF(Table2[[#This Row],[BP]]&lt;=120, "Normal",  IF(Table2[[#This Row],[BP]]&lt;=130, "Slightly Elevated", IF(Table2[[#This Row],[BP]]&lt;=140, "High", "Very High")))</f>
        <v>Normal</v>
      </c>
      <c r="I255" s="1">
        <v>175</v>
      </c>
      <c r="J255" s="1" t="str">
        <f>IF(Table2[[#This Row],[Cholesterol]]&gt;=240, "High", "Normal")</f>
        <v>Normal</v>
      </c>
      <c r="K255" s="1">
        <v>0</v>
      </c>
      <c r="L255" s="1" t="str">
        <f>IF(Table2[[#This Row],[FBS over 120]]=0, "Normal", "High")</f>
        <v>Normal</v>
      </c>
      <c r="M255" s="1">
        <v>0</v>
      </c>
      <c r="N255" s="1" t="str">
        <f>IF(Table2[[#This Row],[EKG results]]=0, "Normal", "Abnormal")</f>
        <v>Normal</v>
      </c>
      <c r="O255" s="1">
        <v>123</v>
      </c>
      <c r="P255" s="1">
        <v>0</v>
      </c>
      <c r="Q255" s="1" t="str">
        <f>IF(Table2[[#This Row],[Exercise angina]]=0, "Normal", "Abnormal")</f>
        <v>Normal</v>
      </c>
      <c r="R255" s="1">
        <v>0.6</v>
      </c>
      <c r="S255" s="1">
        <v>1</v>
      </c>
      <c r="T255" s="1">
        <v>0</v>
      </c>
      <c r="U255" s="1">
        <v>3</v>
      </c>
      <c r="V255"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Not At Risk</v>
      </c>
      <c r="W255" s="1" t="s">
        <v>15</v>
      </c>
    </row>
    <row r="256" spans="1:23" x14ac:dyDescent="0.35">
      <c r="A256" s="1">
        <v>59</v>
      </c>
      <c r="B256" s="1" t="str">
        <f t="shared" si="3"/>
        <v>51-60</v>
      </c>
      <c r="C256" s="1">
        <v>1</v>
      </c>
      <c r="D256" s="1" t="str">
        <f>IF(Table2[[#This Row],[Sex]]=1,"Male", "Female")</f>
        <v>Male</v>
      </c>
      <c r="E256" s="1">
        <v>3</v>
      </c>
      <c r="F256" s="1" t="str">
        <f>IF(Table2[[#This Row],[Chest pain level]]=1, "Typical Angina", IF(Table2[[#This Row],[Chest pain level]]=2, "Atypical Angina", IF(Table2[[#This Row],[Chest pain level]]=3, "Non Anginal Pain", IF(Table2[[#This Row],[Chest pain level]]=4, "Asymptomatic"))))</f>
        <v>Non Anginal Pain</v>
      </c>
      <c r="G256" s="1">
        <v>150</v>
      </c>
      <c r="H256" s="1" t="str">
        <f>IF(Table2[[#This Row],[BP]]&lt;=120, "Normal",  IF(Table2[[#This Row],[BP]]&lt;=130, "Slightly Elevated", IF(Table2[[#This Row],[BP]]&lt;=140, "High", "Very High")))</f>
        <v>Very High</v>
      </c>
      <c r="I256" s="1">
        <v>212</v>
      </c>
      <c r="J256" s="1" t="str">
        <f>IF(Table2[[#This Row],[Cholesterol]]&gt;=240, "High", "Normal")</f>
        <v>Normal</v>
      </c>
      <c r="K256" s="1">
        <v>1</v>
      </c>
      <c r="L256" s="1" t="str">
        <f>IF(Table2[[#This Row],[FBS over 120]]=0, "Normal", "High")</f>
        <v>High</v>
      </c>
      <c r="M256" s="1">
        <v>0</v>
      </c>
      <c r="N256" s="1" t="str">
        <f>IF(Table2[[#This Row],[EKG results]]=0, "Normal", "Abnormal")</f>
        <v>Normal</v>
      </c>
      <c r="O256" s="1">
        <v>157</v>
      </c>
      <c r="P256" s="1">
        <v>0</v>
      </c>
      <c r="Q256" s="1" t="str">
        <f>IF(Table2[[#This Row],[Exercise angina]]=0, "Normal", "Abnormal")</f>
        <v>Normal</v>
      </c>
      <c r="R256" s="1">
        <v>1.6</v>
      </c>
      <c r="S256" s="1">
        <v>1</v>
      </c>
      <c r="T256" s="1">
        <v>0</v>
      </c>
      <c r="U256" s="1">
        <v>3</v>
      </c>
      <c r="V256"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56" s="1" t="s">
        <v>15</v>
      </c>
    </row>
    <row r="257" spans="1:23" x14ac:dyDescent="0.35">
      <c r="A257" s="1">
        <v>71</v>
      </c>
      <c r="B257" s="1" t="str">
        <f t="shared" si="3"/>
        <v>71-80</v>
      </c>
      <c r="C257" s="1">
        <v>0</v>
      </c>
      <c r="D257" s="1" t="str">
        <f>IF(Table2[[#This Row],[Sex]]=1,"Male", "Female")</f>
        <v>Female</v>
      </c>
      <c r="E257" s="1">
        <v>2</v>
      </c>
      <c r="F257" s="1" t="str">
        <f>IF(Table2[[#This Row],[Chest pain level]]=1, "Typical Angina", IF(Table2[[#This Row],[Chest pain level]]=2, "Atypical Angina", IF(Table2[[#This Row],[Chest pain level]]=3, "Non Anginal Pain", IF(Table2[[#This Row],[Chest pain level]]=4, "Asymptomatic"))))</f>
        <v>Atypical Angina</v>
      </c>
      <c r="G257" s="1">
        <v>160</v>
      </c>
      <c r="H257" s="1" t="str">
        <f>IF(Table2[[#This Row],[BP]]&lt;=120, "Normal",  IF(Table2[[#This Row],[BP]]&lt;=130, "Slightly Elevated", IF(Table2[[#This Row],[BP]]&lt;=140, "High", "Very High")))</f>
        <v>Very High</v>
      </c>
      <c r="I257" s="1">
        <v>302</v>
      </c>
      <c r="J257" s="1" t="str">
        <f>IF(Table2[[#This Row],[Cholesterol]]&gt;=240, "High", "Normal")</f>
        <v>High</v>
      </c>
      <c r="K257" s="1">
        <v>0</v>
      </c>
      <c r="L257" s="1" t="str">
        <f>IF(Table2[[#This Row],[FBS over 120]]=0, "Normal", "High")</f>
        <v>Normal</v>
      </c>
      <c r="M257" s="1">
        <v>0</v>
      </c>
      <c r="N257" s="1" t="str">
        <f>IF(Table2[[#This Row],[EKG results]]=0, "Normal", "Abnormal")</f>
        <v>Normal</v>
      </c>
      <c r="O257" s="1">
        <v>162</v>
      </c>
      <c r="P257" s="1">
        <v>0</v>
      </c>
      <c r="Q257" s="1" t="str">
        <f>IF(Table2[[#This Row],[Exercise angina]]=0, "Normal", "Abnormal")</f>
        <v>Normal</v>
      </c>
      <c r="R257" s="1">
        <v>0.4</v>
      </c>
      <c r="S257" s="1">
        <v>1</v>
      </c>
      <c r="T257" s="1">
        <v>2</v>
      </c>
      <c r="U257" s="1">
        <v>3</v>
      </c>
      <c r="V257"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57" s="1" t="s">
        <v>15</v>
      </c>
    </row>
    <row r="258" spans="1:23" x14ac:dyDescent="0.35">
      <c r="A258" s="1">
        <v>61</v>
      </c>
      <c r="B258" s="1" t="str">
        <f t="shared" ref="B258:B271" si="4">IF(A258&lt;=30, "Under 30", IF(A258&lt;=40, "31-40", IF(A258&lt;=50, "41-50", IF(A258&lt;=60, "51-60", IF(A258&lt;=70, "61-70", IF(A258&lt;=80, "71-80", "Above 80"))))))</f>
        <v>61-70</v>
      </c>
      <c r="C258" s="1">
        <v>1</v>
      </c>
      <c r="D258" s="1" t="str">
        <f>IF(Table2[[#This Row],[Sex]]=1,"Male", "Female")</f>
        <v>Male</v>
      </c>
      <c r="E258" s="1">
        <v>3</v>
      </c>
      <c r="F258" s="1" t="str">
        <f>IF(Table2[[#This Row],[Chest pain level]]=1, "Typical Angina", IF(Table2[[#This Row],[Chest pain level]]=2, "Atypical Angina", IF(Table2[[#This Row],[Chest pain level]]=3, "Non Anginal Pain", IF(Table2[[#This Row],[Chest pain level]]=4, "Asymptomatic"))))</f>
        <v>Non Anginal Pain</v>
      </c>
      <c r="G258" s="1">
        <v>150</v>
      </c>
      <c r="H258" s="1" t="str">
        <f>IF(Table2[[#This Row],[BP]]&lt;=120, "Normal",  IF(Table2[[#This Row],[BP]]&lt;=130, "Slightly Elevated", IF(Table2[[#This Row],[BP]]&lt;=140, "High", "Very High")))</f>
        <v>Very High</v>
      </c>
      <c r="I258" s="1">
        <v>243</v>
      </c>
      <c r="J258" s="1" t="str">
        <f>IF(Table2[[#This Row],[Cholesterol]]&gt;=240, "High", "Normal")</f>
        <v>High</v>
      </c>
      <c r="K258" s="1">
        <v>1</v>
      </c>
      <c r="L258" s="1" t="str">
        <f>IF(Table2[[#This Row],[FBS over 120]]=0, "Normal", "High")</f>
        <v>High</v>
      </c>
      <c r="M258" s="1">
        <v>0</v>
      </c>
      <c r="N258" s="1" t="str">
        <f>IF(Table2[[#This Row],[EKG results]]=0, "Normal", "Abnormal")</f>
        <v>Normal</v>
      </c>
      <c r="O258" s="1">
        <v>137</v>
      </c>
      <c r="P258" s="1">
        <v>1</v>
      </c>
      <c r="Q258" s="1" t="str">
        <f>IF(Table2[[#This Row],[Exercise angina]]=0, "Normal", "Abnormal")</f>
        <v>Abnormal</v>
      </c>
      <c r="R258" s="1">
        <v>1</v>
      </c>
      <c r="S258" s="1">
        <v>2</v>
      </c>
      <c r="T258" s="1">
        <v>0</v>
      </c>
      <c r="U258" s="1">
        <v>3</v>
      </c>
      <c r="V258"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58" s="1" t="s">
        <v>15</v>
      </c>
    </row>
    <row r="259" spans="1:23" x14ac:dyDescent="0.35">
      <c r="A259" s="1">
        <v>55</v>
      </c>
      <c r="B259" s="1" t="str">
        <f t="shared" si="4"/>
        <v>51-60</v>
      </c>
      <c r="C259" s="1">
        <v>1</v>
      </c>
      <c r="D259" s="1" t="str">
        <f>IF(Table2[[#This Row],[Sex]]=1,"Male", "Female")</f>
        <v>Male</v>
      </c>
      <c r="E259" s="1">
        <v>4</v>
      </c>
      <c r="F259" s="1" t="str">
        <f>IF(Table2[[#This Row],[Chest pain level]]=1, "Typical Angina", IF(Table2[[#This Row],[Chest pain level]]=2, "Atypical Angina", IF(Table2[[#This Row],[Chest pain level]]=3, "Non Anginal Pain", IF(Table2[[#This Row],[Chest pain level]]=4, "Asymptomatic"))))</f>
        <v>Asymptomatic</v>
      </c>
      <c r="G259" s="1">
        <v>132</v>
      </c>
      <c r="H259" s="1" t="str">
        <f>IF(Table2[[#This Row],[BP]]&lt;=120, "Normal",  IF(Table2[[#This Row],[BP]]&lt;=130, "Slightly Elevated", IF(Table2[[#This Row],[BP]]&lt;=140, "High", "Very High")))</f>
        <v>High</v>
      </c>
      <c r="I259" s="1">
        <v>353</v>
      </c>
      <c r="J259" s="1" t="str">
        <f>IF(Table2[[#This Row],[Cholesterol]]&gt;=240, "High", "Normal")</f>
        <v>High</v>
      </c>
      <c r="K259" s="1">
        <v>0</v>
      </c>
      <c r="L259" s="1" t="str">
        <f>IF(Table2[[#This Row],[FBS over 120]]=0, "Normal", "High")</f>
        <v>Normal</v>
      </c>
      <c r="M259" s="1">
        <v>0</v>
      </c>
      <c r="N259" s="1" t="str">
        <f>IF(Table2[[#This Row],[EKG results]]=0, "Normal", "Abnormal")</f>
        <v>Normal</v>
      </c>
      <c r="O259" s="1">
        <v>132</v>
      </c>
      <c r="P259" s="1">
        <v>1</v>
      </c>
      <c r="Q259" s="1" t="str">
        <f>IF(Table2[[#This Row],[Exercise angina]]=0, "Normal", "Abnormal")</f>
        <v>Abnormal</v>
      </c>
      <c r="R259" s="1">
        <v>1.2</v>
      </c>
      <c r="S259" s="1">
        <v>2</v>
      </c>
      <c r="T259" s="1">
        <v>1</v>
      </c>
      <c r="U259" s="1">
        <v>7</v>
      </c>
      <c r="V259"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59" s="1" t="s">
        <v>14</v>
      </c>
    </row>
    <row r="260" spans="1:23" x14ac:dyDescent="0.35">
      <c r="A260" s="1">
        <v>64</v>
      </c>
      <c r="B260" s="1" t="str">
        <f t="shared" si="4"/>
        <v>61-70</v>
      </c>
      <c r="C260" s="1">
        <v>1</v>
      </c>
      <c r="D260" s="1" t="str">
        <f>IF(Table2[[#This Row],[Sex]]=1,"Male", "Female")</f>
        <v>Male</v>
      </c>
      <c r="E260" s="1">
        <v>3</v>
      </c>
      <c r="F260" s="1" t="str">
        <f>IF(Table2[[#This Row],[Chest pain level]]=1, "Typical Angina", IF(Table2[[#This Row],[Chest pain level]]=2, "Atypical Angina", IF(Table2[[#This Row],[Chest pain level]]=3, "Non Anginal Pain", IF(Table2[[#This Row],[Chest pain level]]=4, "Asymptomatic"))))</f>
        <v>Non Anginal Pain</v>
      </c>
      <c r="G260" s="1">
        <v>140</v>
      </c>
      <c r="H260" s="1" t="str">
        <f>IF(Table2[[#This Row],[BP]]&lt;=120, "Normal",  IF(Table2[[#This Row],[BP]]&lt;=130, "Slightly Elevated", IF(Table2[[#This Row],[BP]]&lt;=140, "High", "Very High")))</f>
        <v>High</v>
      </c>
      <c r="I260" s="1">
        <v>335</v>
      </c>
      <c r="J260" s="1" t="str">
        <f>IF(Table2[[#This Row],[Cholesterol]]&gt;=240, "High", "Normal")</f>
        <v>High</v>
      </c>
      <c r="K260" s="1">
        <v>0</v>
      </c>
      <c r="L260" s="1" t="str">
        <f>IF(Table2[[#This Row],[FBS over 120]]=0, "Normal", "High")</f>
        <v>Normal</v>
      </c>
      <c r="M260" s="1">
        <v>0</v>
      </c>
      <c r="N260" s="1" t="str">
        <f>IF(Table2[[#This Row],[EKG results]]=0, "Normal", "Abnormal")</f>
        <v>Normal</v>
      </c>
      <c r="O260" s="1">
        <v>158</v>
      </c>
      <c r="P260" s="1">
        <v>0</v>
      </c>
      <c r="Q260" s="1" t="str">
        <f>IF(Table2[[#This Row],[Exercise angina]]=0, "Normal", "Abnormal")</f>
        <v>Normal</v>
      </c>
      <c r="R260" s="1">
        <v>0</v>
      </c>
      <c r="S260" s="1">
        <v>1</v>
      </c>
      <c r="T260" s="1">
        <v>0</v>
      </c>
      <c r="U260" s="1">
        <v>3</v>
      </c>
      <c r="V260"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60" s="1" t="s">
        <v>14</v>
      </c>
    </row>
    <row r="261" spans="1:23" x14ac:dyDescent="0.35">
      <c r="A261" s="1">
        <v>43</v>
      </c>
      <c r="B261" s="1" t="str">
        <f t="shared" si="4"/>
        <v>41-50</v>
      </c>
      <c r="C261" s="1">
        <v>1</v>
      </c>
      <c r="D261" s="1" t="str">
        <f>IF(Table2[[#This Row],[Sex]]=1,"Male", "Female")</f>
        <v>Male</v>
      </c>
      <c r="E261" s="1">
        <v>4</v>
      </c>
      <c r="F261" s="1" t="str">
        <f>IF(Table2[[#This Row],[Chest pain level]]=1, "Typical Angina", IF(Table2[[#This Row],[Chest pain level]]=2, "Atypical Angina", IF(Table2[[#This Row],[Chest pain level]]=3, "Non Anginal Pain", IF(Table2[[#This Row],[Chest pain level]]=4, "Asymptomatic"))))</f>
        <v>Asymptomatic</v>
      </c>
      <c r="G261" s="1">
        <v>150</v>
      </c>
      <c r="H261" s="1" t="str">
        <f>IF(Table2[[#This Row],[BP]]&lt;=120, "Normal",  IF(Table2[[#This Row],[BP]]&lt;=130, "Slightly Elevated", IF(Table2[[#This Row],[BP]]&lt;=140, "High", "Very High")))</f>
        <v>Very High</v>
      </c>
      <c r="I261" s="1">
        <v>247</v>
      </c>
      <c r="J261" s="1" t="str">
        <f>IF(Table2[[#This Row],[Cholesterol]]&gt;=240, "High", "Normal")</f>
        <v>High</v>
      </c>
      <c r="K261" s="1">
        <v>0</v>
      </c>
      <c r="L261" s="1" t="str">
        <f>IF(Table2[[#This Row],[FBS over 120]]=0, "Normal", "High")</f>
        <v>Normal</v>
      </c>
      <c r="M261" s="1">
        <v>0</v>
      </c>
      <c r="N261" s="1" t="str">
        <f>IF(Table2[[#This Row],[EKG results]]=0, "Normal", "Abnormal")</f>
        <v>Normal</v>
      </c>
      <c r="O261" s="1">
        <v>171</v>
      </c>
      <c r="P261" s="1">
        <v>0</v>
      </c>
      <c r="Q261" s="1" t="str">
        <f>IF(Table2[[#This Row],[Exercise angina]]=0, "Normal", "Abnormal")</f>
        <v>Normal</v>
      </c>
      <c r="R261" s="1">
        <v>1.5</v>
      </c>
      <c r="S261" s="1">
        <v>1</v>
      </c>
      <c r="T261" s="1">
        <v>0</v>
      </c>
      <c r="U261" s="1">
        <v>3</v>
      </c>
      <c r="V261"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61" s="1" t="s">
        <v>15</v>
      </c>
    </row>
    <row r="262" spans="1:23" x14ac:dyDescent="0.35">
      <c r="A262" s="1">
        <v>58</v>
      </c>
      <c r="B262" s="1" t="str">
        <f t="shared" si="4"/>
        <v>51-60</v>
      </c>
      <c r="C262" s="1">
        <v>0</v>
      </c>
      <c r="D262" s="1" t="str">
        <f>IF(Table2[[#This Row],[Sex]]=1,"Male", "Female")</f>
        <v>Female</v>
      </c>
      <c r="E262" s="1">
        <v>3</v>
      </c>
      <c r="F262" s="1" t="str">
        <f>IF(Table2[[#This Row],[Chest pain level]]=1, "Typical Angina", IF(Table2[[#This Row],[Chest pain level]]=2, "Atypical Angina", IF(Table2[[#This Row],[Chest pain level]]=3, "Non Anginal Pain", IF(Table2[[#This Row],[Chest pain level]]=4, "Asymptomatic"))))</f>
        <v>Non Anginal Pain</v>
      </c>
      <c r="G262" s="1">
        <v>120</v>
      </c>
      <c r="H262" s="1" t="str">
        <f>IF(Table2[[#This Row],[BP]]&lt;=120, "Normal",  IF(Table2[[#This Row],[BP]]&lt;=130, "Slightly Elevated", IF(Table2[[#This Row],[BP]]&lt;=140, "High", "Very High")))</f>
        <v>Normal</v>
      </c>
      <c r="I262" s="1">
        <v>340</v>
      </c>
      <c r="J262" s="1" t="str">
        <f>IF(Table2[[#This Row],[Cholesterol]]&gt;=240, "High", "Normal")</f>
        <v>High</v>
      </c>
      <c r="K262" s="1">
        <v>0</v>
      </c>
      <c r="L262" s="1" t="str">
        <f>IF(Table2[[#This Row],[FBS over 120]]=0, "Normal", "High")</f>
        <v>Normal</v>
      </c>
      <c r="M262" s="1">
        <v>0</v>
      </c>
      <c r="N262" s="1" t="str">
        <f>IF(Table2[[#This Row],[EKG results]]=0, "Normal", "Abnormal")</f>
        <v>Normal</v>
      </c>
      <c r="O262" s="1">
        <v>172</v>
      </c>
      <c r="P262" s="1">
        <v>0</v>
      </c>
      <c r="Q262" s="1" t="str">
        <f>IF(Table2[[#This Row],[Exercise angina]]=0, "Normal", "Abnormal")</f>
        <v>Normal</v>
      </c>
      <c r="R262" s="1">
        <v>0</v>
      </c>
      <c r="S262" s="1">
        <v>1</v>
      </c>
      <c r="T262" s="1">
        <v>0</v>
      </c>
      <c r="U262" s="1">
        <v>3</v>
      </c>
      <c r="V262"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62" s="1" t="s">
        <v>15</v>
      </c>
    </row>
    <row r="263" spans="1:23" x14ac:dyDescent="0.35">
      <c r="A263" s="1">
        <v>60</v>
      </c>
      <c r="B263" s="1" t="str">
        <f t="shared" si="4"/>
        <v>51-60</v>
      </c>
      <c r="C263" s="1">
        <v>1</v>
      </c>
      <c r="D263" s="1" t="str">
        <f>IF(Table2[[#This Row],[Sex]]=1,"Male", "Female")</f>
        <v>Male</v>
      </c>
      <c r="E263" s="1">
        <v>4</v>
      </c>
      <c r="F263" s="1" t="str">
        <f>IF(Table2[[#This Row],[Chest pain level]]=1, "Typical Angina", IF(Table2[[#This Row],[Chest pain level]]=2, "Atypical Angina", IF(Table2[[#This Row],[Chest pain level]]=3, "Non Anginal Pain", IF(Table2[[#This Row],[Chest pain level]]=4, "Asymptomatic"))))</f>
        <v>Asymptomatic</v>
      </c>
      <c r="G263" s="1">
        <v>130</v>
      </c>
      <c r="H263" s="1" t="str">
        <f>IF(Table2[[#This Row],[BP]]&lt;=120, "Normal",  IF(Table2[[#This Row],[BP]]&lt;=130, "Slightly Elevated", IF(Table2[[#This Row],[BP]]&lt;=140, "High", "Very High")))</f>
        <v>Slightly Elevated</v>
      </c>
      <c r="I263" s="1">
        <v>206</v>
      </c>
      <c r="J263" s="1" t="str">
        <f>IF(Table2[[#This Row],[Cholesterol]]&gt;=240, "High", "Normal")</f>
        <v>Normal</v>
      </c>
      <c r="K263" s="1">
        <v>0</v>
      </c>
      <c r="L263" s="1" t="str">
        <f>IF(Table2[[#This Row],[FBS over 120]]=0, "Normal", "High")</f>
        <v>Normal</v>
      </c>
      <c r="M263" s="1">
        <v>2</v>
      </c>
      <c r="N263" s="1" t="str">
        <f>IF(Table2[[#This Row],[EKG results]]=0, "Normal", "Abnormal")</f>
        <v>Abnormal</v>
      </c>
      <c r="O263" s="1">
        <v>132</v>
      </c>
      <c r="P263" s="1">
        <v>1</v>
      </c>
      <c r="Q263" s="1" t="str">
        <f>IF(Table2[[#This Row],[Exercise angina]]=0, "Normal", "Abnormal")</f>
        <v>Abnormal</v>
      </c>
      <c r="R263" s="1">
        <v>2.4</v>
      </c>
      <c r="S263" s="1">
        <v>2</v>
      </c>
      <c r="T263" s="1">
        <v>2</v>
      </c>
      <c r="U263" s="1">
        <v>7</v>
      </c>
      <c r="V263"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63" s="1" t="s">
        <v>14</v>
      </c>
    </row>
    <row r="264" spans="1:23" x14ac:dyDescent="0.35">
      <c r="A264" s="1">
        <v>58</v>
      </c>
      <c r="B264" s="1" t="str">
        <f t="shared" si="4"/>
        <v>51-60</v>
      </c>
      <c r="C264" s="1">
        <v>1</v>
      </c>
      <c r="D264" s="1" t="str">
        <f>IF(Table2[[#This Row],[Sex]]=1,"Male", "Female")</f>
        <v>Male</v>
      </c>
      <c r="E264" s="1">
        <v>2</v>
      </c>
      <c r="F264" s="1" t="str">
        <f>IF(Table2[[#This Row],[Chest pain level]]=1, "Typical Angina", IF(Table2[[#This Row],[Chest pain level]]=2, "Atypical Angina", IF(Table2[[#This Row],[Chest pain level]]=3, "Non Anginal Pain", IF(Table2[[#This Row],[Chest pain level]]=4, "Asymptomatic"))))</f>
        <v>Atypical Angina</v>
      </c>
      <c r="G264" s="1">
        <v>120</v>
      </c>
      <c r="H264" s="1" t="str">
        <f>IF(Table2[[#This Row],[BP]]&lt;=120, "Normal",  IF(Table2[[#This Row],[BP]]&lt;=130, "Slightly Elevated", IF(Table2[[#This Row],[BP]]&lt;=140, "High", "Very High")))</f>
        <v>Normal</v>
      </c>
      <c r="I264" s="1">
        <v>284</v>
      </c>
      <c r="J264" s="1" t="str">
        <f>IF(Table2[[#This Row],[Cholesterol]]&gt;=240, "High", "Normal")</f>
        <v>High</v>
      </c>
      <c r="K264" s="1">
        <v>0</v>
      </c>
      <c r="L264" s="1" t="str">
        <f>IF(Table2[[#This Row],[FBS over 120]]=0, "Normal", "High")</f>
        <v>Normal</v>
      </c>
      <c r="M264" s="1">
        <v>2</v>
      </c>
      <c r="N264" s="1" t="str">
        <f>IF(Table2[[#This Row],[EKG results]]=0, "Normal", "Abnormal")</f>
        <v>Abnormal</v>
      </c>
      <c r="O264" s="1">
        <v>160</v>
      </c>
      <c r="P264" s="1">
        <v>0</v>
      </c>
      <c r="Q264" s="1" t="str">
        <f>IF(Table2[[#This Row],[Exercise angina]]=0, "Normal", "Abnormal")</f>
        <v>Normal</v>
      </c>
      <c r="R264" s="1">
        <v>1.8</v>
      </c>
      <c r="S264" s="1">
        <v>2</v>
      </c>
      <c r="T264" s="1">
        <v>0</v>
      </c>
      <c r="U264" s="1">
        <v>3</v>
      </c>
      <c r="V264"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64" s="1" t="s">
        <v>14</v>
      </c>
    </row>
    <row r="265" spans="1:23" x14ac:dyDescent="0.35">
      <c r="A265" s="1">
        <v>49</v>
      </c>
      <c r="B265" s="1" t="str">
        <f t="shared" si="4"/>
        <v>41-50</v>
      </c>
      <c r="C265" s="1">
        <v>1</v>
      </c>
      <c r="D265" s="1" t="str">
        <f>IF(Table2[[#This Row],[Sex]]=1,"Male", "Female")</f>
        <v>Male</v>
      </c>
      <c r="E265" s="1">
        <v>2</v>
      </c>
      <c r="F265" s="1" t="str">
        <f>IF(Table2[[#This Row],[Chest pain level]]=1, "Typical Angina", IF(Table2[[#This Row],[Chest pain level]]=2, "Atypical Angina", IF(Table2[[#This Row],[Chest pain level]]=3, "Non Anginal Pain", IF(Table2[[#This Row],[Chest pain level]]=4, "Asymptomatic"))))</f>
        <v>Atypical Angina</v>
      </c>
      <c r="G265" s="1">
        <v>130</v>
      </c>
      <c r="H265" s="1" t="str">
        <f>IF(Table2[[#This Row],[BP]]&lt;=120, "Normal",  IF(Table2[[#This Row],[BP]]&lt;=130, "Slightly Elevated", IF(Table2[[#This Row],[BP]]&lt;=140, "High", "Very High")))</f>
        <v>Slightly Elevated</v>
      </c>
      <c r="I265" s="1">
        <v>266</v>
      </c>
      <c r="J265" s="1" t="str">
        <f>IF(Table2[[#This Row],[Cholesterol]]&gt;=240, "High", "Normal")</f>
        <v>High</v>
      </c>
      <c r="K265" s="1">
        <v>0</v>
      </c>
      <c r="L265" s="1" t="str">
        <f>IF(Table2[[#This Row],[FBS over 120]]=0, "Normal", "High")</f>
        <v>Normal</v>
      </c>
      <c r="M265" s="1">
        <v>0</v>
      </c>
      <c r="N265" s="1" t="str">
        <f>IF(Table2[[#This Row],[EKG results]]=0, "Normal", "Abnormal")</f>
        <v>Normal</v>
      </c>
      <c r="O265" s="1">
        <v>171</v>
      </c>
      <c r="P265" s="1">
        <v>0</v>
      </c>
      <c r="Q265" s="1" t="str">
        <f>IF(Table2[[#This Row],[Exercise angina]]=0, "Normal", "Abnormal")</f>
        <v>Normal</v>
      </c>
      <c r="R265" s="1">
        <v>0.6</v>
      </c>
      <c r="S265" s="1">
        <v>1</v>
      </c>
      <c r="T265" s="1">
        <v>0</v>
      </c>
      <c r="U265" s="1">
        <v>3</v>
      </c>
      <c r="V265"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65" s="1" t="s">
        <v>15</v>
      </c>
    </row>
    <row r="266" spans="1:23" x14ac:dyDescent="0.35">
      <c r="A266" s="1">
        <v>48</v>
      </c>
      <c r="B266" s="1" t="str">
        <f t="shared" si="4"/>
        <v>41-50</v>
      </c>
      <c r="C266" s="1">
        <v>1</v>
      </c>
      <c r="D266" s="1" t="str">
        <f>IF(Table2[[#This Row],[Sex]]=1,"Male", "Female")</f>
        <v>Male</v>
      </c>
      <c r="E266" s="1">
        <v>2</v>
      </c>
      <c r="F266" s="1" t="str">
        <f>IF(Table2[[#This Row],[Chest pain level]]=1, "Typical Angina", IF(Table2[[#This Row],[Chest pain level]]=2, "Atypical Angina", IF(Table2[[#This Row],[Chest pain level]]=3, "Non Anginal Pain", IF(Table2[[#This Row],[Chest pain level]]=4, "Asymptomatic"))))</f>
        <v>Atypical Angina</v>
      </c>
      <c r="G266" s="1">
        <v>110</v>
      </c>
      <c r="H266" s="1" t="str">
        <f>IF(Table2[[#This Row],[BP]]&lt;=120, "Normal",  IF(Table2[[#This Row],[BP]]&lt;=130, "Slightly Elevated", IF(Table2[[#This Row],[BP]]&lt;=140, "High", "Very High")))</f>
        <v>Normal</v>
      </c>
      <c r="I266" s="1">
        <v>229</v>
      </c>
      <c r="J266" s="1" t="str">
        <f>IF(Table2[[#This Row],[Cholesterol]]&gt;=240, "High", "Normal")</f>
        <v>Normal</v>
      </c>
      <c r="K266" s="1">
        <v>0</v>
      </c>
      <c r="L266" s="1" t="str">
        <f>IF(Table2[[#This Row],[FBS over 120]]=0, "Normal", "High")</f>
        <v>Normal</v>
      </c>
      <c r="M266" s="1">
        <v>0</v>
      </c>
      <c r="N266" s="1" t="str">
        <f>IF(Table2[[#This Row],[EKG results]]=0, "Normal", "Abnormal")</f>
        <v>Normal</v>
      </c>
      <c r="O266" s="1">
        <v>168</v>
      </c>
      <c r="P266" s="1">
        <v>0</v>
      </c>
      <c r="Q266" s="1" t="str">
        <f>IF(Table2[[#This Row],[Exercise angina]]=0, "Normal", "Abnormal")</f>
        <v>Normal</v>
      </c>
      <c r="R266" s="1">
        <v>1</v>
      </c>
      <c r="S266" s="1">
        <v>3</v>
      </c>
      <c r="T266" s="1">
        <v>0</v>
      </c>
      <c r="U266" s="1">
        <v>7</v>
      </c>
      <c r="V266"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66" s="1" t="s">
        <v>14</v>
      </c>
    </row>
    <row r="267" spans="1:23" x14ac:dyDescent="0.35">
      <c r="A267" s="1">
        <v>52</v>
      </c>
      <c r="B267" s="1" t="str">
        <f t="shared" si="4"/>
        <v>51-60</v>
      </c>
      <c r="C267" s="1">
        <v>1</v>
      </c>
      <c r="D267" s="1" t="str">
        <f>IF(Table2[[#This Row],[Sex]]=1,"Male", "Female")</f>
        <v>Male</v>
      </c>
      <c r="E267" s="1">
        <v>3</v>
      </c>
      <c r="F267" s="1" t="str">
        <f>IF(Table2[[#This Row],[Chest pain level]]=1, "Typical Angina", IF(Table2[[#This Row],[Chest pain level]]=2, "Atypical Angina", IF(Table2[[#This Row],[Chest pain level]]=3, "Non Anginal Pain", IF(Table2[[#This Row],[Chest pain level]]=4, "Asymptomatic"))))</f>
        <v>Non Anginal Pain</v>
      </c>
      <c r="G267" s="1">
        <v>172</v>
      </c>
      <c r="H267" s="1" t="str">
        <f>IF(Table2[[#This Row],[BP]]&lt;=120, "Normal",  IF(Table2[[#This Row],[BP]]&lt;=130, "Slightly Elevated", IF(Table2[[#This Row],[BP]]&lt;=140, "High", "Very High")))</f>
        <v>Very High</v>
      </c>
      <c r="I267" s="1">
        <v>199</v>
      </c>
      <c r="J267" s="1" t="str">
        <f>IF(Table2[[#This Row],[Cholesterol]]&gt;=240, "High", "Normal")</f>
        <v>Normal</v>
      </c>
      <c r="K267" s="1">
        <v>1</v>
      </c>
      <c r="L267" s="1" t="str">
        <f>IF(Table2[[#This Row],[FBS over 120]]=0, "Normal", "High")</f>
        <v>High</v>
      </c>
      <c r="M267" s="1">
        <v>0</v>
      </c>
      <c r="N267" s="1" t="str">
        <f>IF(Table2[[#This Row],[EKG results]]=0, "Normal", "Abnormal")</f>
        <v>Normal</v>
      </c>
      <c r="O267" s="1">
        <v>162</v>
      </c>
      <c r="P267" s="1">
        <v>0</v>
      </c>
      <c r="Q267" s="1" t="str">
        <f>IF(Table2[[#This Row],[Exercise angina]]=0, "Normal", "Abnormal")</f>
        <v>Normal</v>
      </c>
      <c r="R267" s="1">
        <v>0.5</v>
      </c>
      <c r="S267" s="1">
        <v>1</v>
      </c>
      <c r="T267" s="1">
        <v>0</v>
      </c>
      <c r="U267" s="1">
        <v>7</v>
      </c>
      <c r="V267"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67" s="1" t="s">
        <v>15</v>
      </c>
    </row>
    <row r="268" spans="1:23" x14ac:dyDescent="0.35">
      <c r="A268" s="1">
        <v>44</v>
      </c>
      <c r="B268" s="1" t="str">
        <f t="shared" si="4"/>
        <v>41-50</v>
      </c>
      <c r="C268" s="1">
        <v>1</v>
      </c>
      <c r="D268" s="1" t="str">
        <f>IF(Table2[[#This Row],[Sex]]=1,"Male", "Female")</f>
        <v>Male</v>
      </c>
      <c r="E268" s="1">
        <v>2</v>
      </c>
      <c r="F268" s="1" t="str">
        <f>IF(Table2[[#This Row],[Chest pain level]]=1, "Typical Angina", IF(Table2[[#This Row],[Chest pain level]]=2, "Atypical Angina", IF(Table2[[#This Row],[Chest pain level]]=3, "Non Anginal Pain", IF(Table2[[#This Row],[Chest pain level]]=4, "Asymptomatic"))))</f>
        <v>Atypical Angina</v>
      </c>
      <c r="G268" s="1">
        <v>120</v>
      </c>
      <c r="H268" s="1" t="str">
        <f>IF(Table2[[#This Row],[BP]]&lt;=120, "Normal",  IF(Table2[[#This Row],[BP]]&lt;=130, "Slightly Elevated", IF(Table2[[#This Row],[BP]]&lt;=140, "High", "Very High")))</f>
        <v>Normal</v>
      </c>
      <c r="I268" s="1">
        <v>263</v>
      </c>
      <c r="J268" s="1" t="str">
        <f>IF(Table2[[#This Row],[Cholesterol]]&gt;=240, "High", "Normal")</f>
        <v>High</v>
      </c>
      <c r="K268" s="1">
        <v>0</v>
      </c>
      <c r="L268" s="1" t="str">
        <f>IF(Table2[[#This Row],[FBS over 120]]=0, "Normal", "High")</f>
        <v>Normal</v>
      </c>
      <c r="M268" s="1">
        <v>0</v>
      </c>
      <c r="N268" s="1" t="str">
        <f>IF(Table2[[#This Row],[EKG results]]=0, "Normal", "Abnormal")</f>
        <v>Normal</v>
      </c>
      <c r="O268" s="1">
        <v>173</v>
      </c>
      <c r="P268" s="1">
        <v>0</v>
      </c>
      <c r="Q268" s="1" t="str">
        <f>IF(Table2[[#This Row],[Exercise angina]]=0, "Normal", "Abnormal")</f>
        <v>Normal</v>
      </c>
      <c r="R268" s="1">
        <v>0</v>
      </c>
      <c r="S268" s="1">
        <v>1</v>
      </c>
      <c r="T268" s="1">
        <v>0</v>
      </c>
      <c r="U268" s="1">
        <v>7</v>
      </c>
      <c r="V268"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68" s="1" t="s">
        <v>15</v>
      </c>
    </row>
    <row r="269" spans="1:23" x14ac:dyDescent="0.35">
      <c r="A269" s="1">
        <v>56</v>
      </c>
      <c r="B269" s="1" t="str">
        <f t="shared" si="4"/>
        <v>51-60</v>
      </c>
      <c r="C269" s="1">
        <v>0</v>
      </c>
      <c r="D269" s="1" t="str">
        <f>IF(Table2[[#This Row],[Sex]]=1,"Male", "Female")</f>
        <v>Female</v>
      </c>
      <c r="E269" s="1">
        <v>2</v>
      </c>
      <c r="F269" s="1" t="str">
        <f>IF(Table2[[#This Row],[Chest pain level]]=1, "Typical Angina", IF(Table2[[#This Row],[Chest pain level]]=2, "Atypical Angina", IF(Table2[[#This Row],[Chest pain level]]=3, "Non Anginal Pain", IF(Table2[[#This Row],[Chest pain level]]=4, "Asymptomatic"))))</f>
        <v>Atypical Angina</v>
      </c>
      <c r="G269" s="1">
        <v>140</v>
      </c>
      <c r="H269" s="1" t="str">
        <f>IF(Table2[[#This Row],[BP]]&lt;=120, "Normal",  IF(Table2[[#This Row],[BP]]&lt;=130, "Slightly Elevated", IF(Table2[[#This Row],[BP]]&lt;=140, "High", "Very High")))</f>
        <v>High</v>
      </c>
      <c r="I269" s="1">
        <v>294</v>
      </c>
      <c r="J269" s="1" t="str">
        <f>IF(Table2[[#This Row],[Cholesterol]]&gt;=240, "High", "Normal")</f>
        <v>High</v>
      </c>
      <c r="K269" s="1">
        <v>0</v>
      </c>
      <c r="L269" s="1" t="str">
        <f>IF(Table2[[#This Row],[FBS over 120]]=0, "Normal", "High")</f>
        <v>Normal</v>
      </c>
      <c r="M269" s="1">
        <v>2</v>
      </c>
      <c r="N269" s="1" t="str">
        <f>IF(Table2[[#This Row],[EKG results]]=0, "Normal", "Abnormal")</f>
        <v>Abnormal</v>
      </c>
      <c r="O269" s="1">
        <v>153</v>
      </c>
      <c r="P269" s="1">
        <v>0</v>
      </c>
      <c r="Q269" s="1" t="str">
        <f>IF(Table2[[#This Row],[Exercise angina]]=0, "Normal", "Abnormal")</f>
        <v>Normal</v>
      </c>
      <c r="R269" s="1">
        <v>1.3</v>
      </c>
      <c r="S269" s="1">
        <v>2</v>
      </c>
      <c r="T269" s="1">
        <v>0</v>
      </c>
      <c r="U269" s="1">
        <v>3</v>
      </c>
      <c r="V269"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69" s="1" t="s">
        <v>15</v>
      </c>
    </row>
    <row r="270" spans="1:23" x14ac:dyDescent="0.35">
      <c r="A270" s="1">
        <v>57</v>
      </c>
      <c r="B270" s="1" t="str">
        <f t="shared" si="4"/>
        <v>51-60</v>
      </c>
      <c r="C270" s="1">
        <v>1</v>
      </c>
      <c r="D270" s="1" t="str">
        <f>IF(Table2[[#This Row],[Sex]]=1,"Male", "Female")</f>
        <v>Male</v>
      </c>
      <c r="E270" s="1">
        <v>4</v>
      </c>
      <c r="F270" s="1" t="str">
        <f>IF(Table2[[#This Row],[Chest pain level]]=1, "Typical Angina", IF(Table2[[#This Row],[Chest pain level]]=2, "Atypical Angina", IF(Table2[[#This Row],[Chest pain level]]=3, "Non Anginal Pain", IF(Table2[[#This Row],[Chest pain level]]=4, "Asymptomatic"))))</f>
        <v>Asymptomatic</v>
      </c>
      <c r="G270" s="1">
        <v>140</v>
      </c>
      <c r="H270" s="1" t="str">
        <f>IF(Table2[[#This Row],[BP]]&lt;=120, "Normal",  IF(Table2[[#This Row],[BP]]&lt;=130, "Slightly Elevated", IF(Table2[[#This Row],[BP]]&lt;=140, "High", "Very High")))</f>
        <v>High</v>
      </c>
      <c r="I270" s="1">
        <v>192</v>
      </c>
      <c r="J270" s="1" t="str">
        <f>IF(Table2[[#This Row],[Cholesterol]]&gt;=240, "High", "Normal")</f>
        <v>Normal</v>
      </c>
      <c r="K270" s="1">
        <v>0</v>
      </c>
      <c r="L270" s="1" t="str">
        <f>IF(Table2[[#This Row],[FBS over 120]]=0, "Normal", "High")</f>
        <v>Normal</v>
      </c>
      <c r="M270" s="1">
        <v>0</v>
      </c>
      <c r="N270" s="1" t="str">
        <f>IF(Table2[[#This Row],[EKG results]]=0, "Normal", "Abnormal")</f>
        <v>Normal</v>
      </c>
      <c r="O270" s="1">
        <v>148</v>
      </c>
      <c r="P270" s="1">
        <v>0</v>
      </c>
      <c r="Q270" s="1" t="str">
        <f>IF(Table2[[#This Row],[Exercise angina]]=0, "Normal", "Abnormal")</f>
        <v>Normal</v>
      </c>
      <c r="R270" s="1">
        <v>0.4</v>
      </c>
      <c r="S270" s="1">
        <v>2</v>
      </c>
      <c r="T270" s="1">
        <v>0</v>
      </c>
      <c r="U270" s="1">
        <v>6</v>
      </c>
      <c r="V270"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70" s="1" t="s">
        <v>15</v>
      </c>
    </row>
    <row r="271" spans="1:23" x14ac:dyDescent="0.35">
      <c r="A271" s="1">
        <v>67</v>
      </c>
      <c r="B271" s="1" t="str">
        <f t="shared" si="4"/>
        <v>61-70</v>
      </c>
      <c r="C271" s="1">
        <v>1</v>
      </c>
      <c r="D271" s="1" t="str">
        <f>IF(Table2[[#This Row],[Sex]]=1,"Male", "Female")</f>
        <v>Male</v>
      </c>
      <c r="E271" s="1">
        <v>4</v>
      </c>
      <c r="F271" s="1" t="str">
        <f>IF(Table2[[#This Row],[Chest pain level]]=1, "Typical Angina", IF(Table2[[#This Row],[Chest pain level]]=2, "Atypical Angina", IF(Table2[[#This Row],[Chest pain level]]=3, "Non Anginal Pain", IF(Table2[[#This Row],[Chest pain level]]=4, "Asymptomatic"))))</f>
        <v>Asymptomatic</v>
      </c>
      <c r="G271" s="1">
        <v>160</v>
      </c>
      <c r="H271" s="1" t="str">
        <f>IF(Table2[[#This Row],[BP]]&lt;=120, "Normal",  IF(Table2[[#This Row],[BP]]&lt;=130, "Slightly Elevated", IF(Table2[[#This Row],[BP]]&lt;=140, "High", "Very High")))</f>
        <v>Very High</v>
      </c>
      <c r="I271" s="1">
        <v>286</v>
      </c>
      <c r="J271" s="1" t="str">
        <f>IF(Table2[[#This Row],[Cholesterol]]&gt;=240, "High", "Normal")</f>
        <v>High</v>
      </c>
      <c r="K271" s="1">
        <v>0</v>
      </c>
      <c r="L271" s="1" t="str">
        <f>IF(Table2[[#This Row],[FBS over 120]]=0, "Normal", "High")</f>
        <v>Normal</v>
      </c>
      <c r="M271" s="1">
        <v>2</v>
      </c>
      <c r="N271" s="1" t="str">
        <f>IF(Table2[[#This Row],[EKG results]]=0, "Normal", "Abnormal")</f>
        <v>Abnormal</v>
      </c>
      <c r="O271" s="1">
        <v>108</v>
      </c>
      <c r="P271" s="1">
        <v>1</v>
      </c>
      <c r="Q271" s="1" t="str">
        <f>IF(Table2[[#This Row],[Exercise angina]]=0, "Normal", "Abnormal")</f>
        <v>Abnormal</v>
      </c>
      <c r="R271" s="1">
        <v>1.5</v>
      </c>
      <c r="S271" s="1">
        <v>2</v>
      </c>
      <c r="T271" s="1">
        <v>3</v>
      </c>
      <c r="U271" s="1">
        <v>3</v>
      </c>
      <c r="V271" s="1" t="str">
        <f>IF(OR(Table2[[#This Row],[Chest pain level]]&lt;3, Table2[[#This Row],[BP]]&gt;=140, Table2[[#This Row],[Cholesterol]]&gt;=240, Table2[[#This Row],[EKG results]]&lt;&gt;0, Table2[[#This Row],[Max HR]]&lt;120, Table2[[#This Row],[Exercise angina]]&lt;&gt;0, Table2[[#This Row],[ST depression]]&gt;=1, Table2[[#This Row],[Slope of ST]]&gt;1, Table2[[#This Row],[Number of vessels fluro]]&gt;=1, Table2[[#This Row],[Thallium]]&gt;=6), "At Risk", "Not At Risk")</f>
        <v>At Risk</v>
      </c>
      <c r="W271" s="1" t="s">
        <v>14</v>
      </c>
    </row>
  </sheetData>
  <phoneticPr fontId="24" type="noConversion"/>
  <pageMargins left="0.7" right="0.7" top="0.75" bottom="0.75" header="0.3" footer="0.3"/>
  <headerFooter alignWithMargin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Project Overview</vt:lpstr>
      <vt:lpstr> Data Scope and Structure</vt:lpstr>
      <vt:lpstr>Data Notes and Validation</vt:lpstr>
      <vt:lpstr>Key Findings</vt:lpstr>
      <vt:lpstr>Conclusion</vt:lpstr>
      <vt:lpstr>Dashboard</vt:lpstr>
      <vt:lpstr>Chest Pain vs Heart Disease</vt:lpstr>
      <vt:lpstr>Overall Prevalence Pivot</vt:lpstr>
      <vt:lpstr>Age Distribution Pivot</vt:lpstr>
      <vt:lpstr>Gender Distribution Pivot</vt:lpstr>
      <vt:lpstr>At Risk Pivot</vt:lpstr>
      <vt:lpstr>BP VS Heart Disease</vt:lpstr>
      <vt:lpstr>Diabetes vs Heart Disease</vt:lpstr>
      <vt:lpstr>EKG results and Heart Disease</vt:lpstr>
      <vt:lpstr>Cholesterol and heart disease</vt:lpstr>
      <vt:lpstr>Exercise Angina and heart dise</vt:lpstr>
      <vt:lpstr>%patients at risk pivot</vt:lpstr>
      <vt:lpstr>%patients with heart disease</vt:lpstr>
      <vt:lpstr>Heart Disease by Gender</vt:lpstr>
      <vt:lpstr> Heart Disease Prediction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Uche Ezeanya</cp:lastModifiedBy>
  <dcterms:created xsi:type="dcterms:W3CDTF">2025-12-30T13:37:43Z</dcterms:created>
  <dcterms:modified xsi:type="dcterms:W3CDTF">2026-01-04T05:22:58Z</dcterms:modified>
</cp:coreProperties>
</file>